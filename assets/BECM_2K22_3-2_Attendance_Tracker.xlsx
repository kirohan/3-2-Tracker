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39426777714d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5176f0b8e004fba"/>
    <x:sheet xmlns:r="http://schemas.openxmlformats.org/officeDocument/2006/relationships" name="Class Log" sheetId="2" r:id="R41b38d62da264f4a"/>
    <x:sheet xmlns:r="http://schemas.openxmlformats.org/officeDocument/2006/relationships" name="Routine &amp; Settings" sheetId="3" r:id="Reb314628939a4a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-mmm-yyyy"/>
    <x:numFmt numFmtId="201" formatCode="0.0%"/>
    <x:numFmt numFmtId="202" formatCode="0%"/>
  </x:numFmts>
  <x:fonts count="1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2033"/>
      <x:name val="Carlito"/>
    </x:font>
    <x:font>
      <x:b/>
      <x:sz val="11"/>
      <x:color rgb="FFFFFFFF"/>
      <x:name val="Carlito"/>
    </x:font>
    <x:font>
      <x:b/>
      <x:sz val="11"/>
      <x:color rgb="FF172033"/>
      <x:name val="Carlito"/>
    </x:font>
    <x:font>
      <x:b/>
      <x:sz val="11"/>
      <x:color rgb="FF0B1F3A"/>
      <x:name val="Carlito"/>
    </x:font>
    <x:font>
      <x:i/>
      <x:sz val="9"/>
      <x:color rgb="FF64748B"/>
      <x:name val="Carlito"/>
    </x:font>
    <x:font>
      <x:b/>
      <x:sz val="11"/>
      <x:name val="Carlito"/>
    </x:font>
    <x:font>
      <x:sz val="11"/>
      <x:color rgb="FF64748B"/>
      <x:name val="Carlito"/>
    </x:font>
    <x:font>
      <x:b/>
      <x:sz val="11"/>
      <x:color rgb="FF64748B"/>
      <x:name val="Carlito"/>
    </x:font>
    <x:font>
      <x:b/>
      <x:sz val="18"/>
      <x:color rgb="FFFFFFFF"/>
      <x:name val="Carlito"/>
    </x:font>
    <x:font>
      <x:b/>
      <x:sz val="20"/>
      <x:color rgb="FF172033"/>
      <x:name val="Carlito"/>
    </x:font>
    <x:font>
      <x:b/>
      <x:sz val="14"/>
      <x:color rgb="FF0F766E"/>
      <x:name val="Carlito"/>
    </x:font>
    <x:font>
      <x:i/>
      <x:sz val="11"/>
      <x:color rgb="FF92400E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EAF4FF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DC2626"/>
      </x:patternFill>
    </x:fill>
    <x:fill>
      <x:patternFill patternType="solid">
        <x:fgColor rgb="FFFFF7ED"/>
      </x:patternFill>
    </x:fill>
    <x:fill>
      <x:patternFill patternType="solid">
        <x:fgColor rgb="FFF1F5F9"/>
      </x:patternFill>
    </x:fill>
    <x:fill>
      <x:patternFill patternType="solid">
        <x:fgColor rgb="FFDCFCE7"/>
      </x:patternFill>
    </x:fill>
    <x:fill>
      <x:patternFill patternType="solid">
        <x:fgColor rgb="FF155E75"/>
      </x:patternFill>
    </x:fill>
    <x:fill>
      <x:patternFill patternType="solid">
        <x:fgColor rgb="FFFFFDF2"/>
      </x:patternFill>
    </x:fill>
    <x:fill>
      <x:patternFill patternType="solid">
        <x:fgColor rgb="FFFFFBEB"/>
      </x:patternFill>
    </x:fill>
    <x:fill>
      <x:patternFill patternType="solid">
        <x:fgColor rgb="FFF8FAFC"/>
      </x:patternFill>
    </x:fill>
    <x:fill>
      <x:patternFill patternType="solid">
        <x:fgColor rgb="FFF0FDFA"/>
      </x:patternFill>
    </x:fill>
  </x:fills>
  <x:borders count="2">
    <x:border/>
    <x:border/>
  </x:borders>
  <x:cellStyleXfs count="1">
    <x:xf numFmtId="0" fontId="0" fillId="0" borderId="0"/>
  </x:cellStyleXfs>
  <x:cellXfs count="20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horizontal="center"/>
    </x:xf>
    <x:xf numFmtId="200" fontId="0" fillId="7" borderId="0" xfId="0" applyNumberFormat="1" applyFont="1" applyFill="1" applyBorder="1"/>
    <x:xf numFmtId="0" fontId="0" fillId="7" borderId="0" xfId="0" applyNumberFormat="1" applyFont="1" applyFill="1" applyBorder="1"/>
    <x:xf numFmtId="200" fontId="0" fillId="7" borderId="1" xfId="0" applyNumberFormat="1" applyFont="1" applyFill="1" applyBorder="1"/>
    <x:xf numFmtId="0" fontId="0" fillId="7" borderId="1" xfId="0" applyNumberFormat="1" applyFont="1" applyFill="1" applyBorder="1"/>
    <x:xf numFmtId="0" fontId="0" fillId="2" borderId="0" xfId="0" applyNumberFormat="1" applyFont="1" applyFill="1" applyBorder="1" applyAlignment="1">
      <x:alignment horizontal="center"/>
    </x:xf>
    <x:xf numFmtId="200" fontId="0" fillId="2" borderId="0" xfId="0" applyNumberFormat="1" applyFont="1" applyFill="1" applyBorder="1" applyAlignment="1">
      <x:alignment horizontal="center"/>
    </x:xf>
    <x:xf numFmtId="200" fontId="0" fillId="2" borderId="0" xfId="0" applyNumberFormat="1" applyFont="1" applyFill="1" applyBorder="1"/>
    <x:xf numFmtId="200" fontId="3" fillId="2" borderId="0" xfId="0" applyNumberFormat="1" applyFont="1" applyFill="1" applyBorder="1" applyAlignment="1">
      <x:alignment horizontal="center"/>
    </x:xf>
    <x:xf numFmtId="20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200" fontId="3" fillId="2" borderId="0" xfId="0" applyNumberFormat="1" applyFont="1" applyFill="1" applyBorder="1" applyAlignment="1">
      <x:alignment horizontal="center" wrapText="1"/>
    </x:xf>
    <x:xf numFmtId="200" fontId="3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 applyAlignment="1">
      <x:alignment horizontal="center"/>
    </x:xf>
    <x:xf numFmtId="200" fontId="0" fillId="2" borderId="1" xfId="0" applyNumberFormat="1" applyFont="1" applyFill="1" applyBorder="1" applyAlignment="1">
      <x:alignment horizontal="center"/>
    </x:xf>
    <x:xf numFmtId="200" fontId="0" fillId="2" borderId="1" xfId="0" applyNumberFormat="1" applyFont="1" applyFill="1" applyBorder="1"/>
    <x:xf numFmtId="200" fontId="3" fillId="2" borderId="1" xfId="0" applyNumberFormat="1" applyFont="1" applyFill="1" applyBorder="1" applyAlignment="1">
      <x:alignment horizontal="center"/>
    </x:xf>
    <x:xf numFmtId="20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200" fontId="3" fillId="2" borderId="1" xfId="0" applyNumberFormat="1" applyFont="1" applyFill="1" applyBorder="1" applyAlignment="1">
      <x:alignment horizontal="center" wrapText="1"/>
    </x:xf>
    <x:xf numFmtId="200" fontId="3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horizontal="center" wrapText="1"/>
    </x:xf>
    <x:xf numFmtId="20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7" borderId="0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 vertical="center" wrapText="1"/>
    </x:xf>
    <x:xf numFmtId="200" fontId="0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horizontal="center" wrapText="1"/>
    </x:xf>
    <x:xf numFmtId="20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200" fontId="0" fillId="7" borderId="1" xfId="0" applyNumberFormat="1" applyFont="1" applyFill="1" applyBorder="1" applyAlignment="1">
      <x:alignment horizontal="center" wrapText="1"/>
    </x:xf>
    <x:xf numFmtId="0" fontId="0" fillId="7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horizontal="center" vertical="center" wrapText="1"/>
    </x:xf>
    <x:xf numFmtId="200" fontId="0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horizontal="center" vertic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0" fillId="8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6" fillId="0" borderId="0" xfId="0" applyNumberFormat="1" applyFont="1" applyFill="1" applyBorder="1"/>
    <x:xf numFmtId="200" fontId="6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0" borderId="0" xfId="0" applyNumberFormat="1" applyFont="1" applyFill="1" applyBorder="1" applyAlignment="1">
      <x:alignment horizontal="right"/>
    </x:xf>
    <x:xf numFmtId="200" fontId="6" fillId="7" borderId="0" xfId="0" applyNumberFormat="1" applyFont="1" applyFill="1" applyBorder="1" applyAlignment="1">
      <x:alignment horizontal="right"/>
    </x:xf>
    <x:xf numFmtId="0" fontId="6" fillId="7" borderId="0" xfId="0" applyNumberFormat="1" applyFont="1" applyFill="1" applyBorder="1" applyAlignment="1">
      <x:alignment horizontal="right"/>
    </x:xf>
    <x:xf numFmtId="0" fontId="6" fillId="0" borderId="1" xfId="0" applyNumberFormat="1" applyFont="1" applyFill="1" applyBorder="1"/>
    <x:xf numFmtId="200" fontId="6" fillId="7" borderId="1" xfId="0" applyNumberFormat="1" applyFont="1" applyFill="1" applyBorder="1"/>
    <x:xf numFmtId="0" fontId="6" fillId="7" borderId="1" xfId="0" applyNumberFormat="1" applyFont="1" applyFill="1" applyBorder="1"/>
    <x:xf numFmtId="0" fontId="6" fillId="0" borderId="1" xfId="0" applyNumberFormat="1" applyFont="1" applyFill="1" applyBorder="1" applyAlignment="1">
      <x:alignment horizontal="right"/>
    </x:xf>
    <x:xf numFmtId="200" fontId="6" fillId="7" borderId="1" xfId="0" applyNumberFormat="1" applyFont="1" applyFill="1" applyBorder="1" applyAlignment="1">
      <x:alignment horizontal="right"/>
    </x:xf>
    <x:xf numFmtId="0" fontId="6" fillId="7" borderId="1" xfId="0" applyNumberFormat="1" applyFont="1" applyFill="1" applyBorder="1" applyAlignment="1">
      <x:alignment horizontal="right"/>
    </x:xf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0" fillId="10" borderId="1" xfId="0" applyNumberFormat="1" applyFont="1" applyFill="1" applyBorder="1"/>
    <x:xf numFmtId="0" fontId="3" fillId="10" borderId="1" xfId="0" applyNumberFormat="1" applyFont="1" applyFill="1" applyBorder="1"/>
    <x:xf numFmtId="0" fontId="3" fillId="10" borderId="1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horizontal="center" wrapText="1"/>
    </x:xf>
    <x:xf numFmtId="0" fontId="7" fillId="11" borderId="0" xfId="0" applyNumberFormat="1" applyFont="1" applyFill="1" applyBorder="1" applyAlignment="1">
      <x:alignment vertical="center"/>
    </x:xf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/>
    </x:xf>
    <x:xf numFmtId="0" fontId="3" fillId="11" borderId="0" xfId="0" applyNumberFormat="1" applyFont="1" applyFill="1" applyBorder="1" applyAlignment="1">
      <x:alignment horizontal="center"/>
    </x:xf>
    <x:xf numFmtId="0" fontId="0" fillId="11" borderId="1" xfId="0" applyNumberFormat="1" applyFont="1" applyFill="1" applyBorder="1" applyAlignment="1">
      <x:alignment vertical="center"/>
    </x:xf>
    <x:xf numFmtId="0" fontId="0" fillId="11" borderId="1" xfId="0" applyNumberFormat="1" applyFont="1" applyFill="1" applyBorder="1"/>
    <x:xf numFmtId="0" fontId="3" fillId="11" borderId="1" xfId="0" applyNumberFormat="1" applyFont="1" applyFill="1" applyBorder="1"/>
    <x:xf numFmtId="0" fontId="3" fillId="11" borderId="1" xfId="0" applyNumberFormat="1" applyFont="1" applyFill="1" applyBorder="1" applyAlignment="1">
      <x:alignment horizontal="center" wrapText="1"/>
    </x:xf>
    <x:xf numFmtId="0" fontId="7" fillId="11" borderId="1" xfId="0" applyNumberFormat="1" applyFont="1" applyFill="1" applyBorder="1" applyAlignment="1">
      <x:alignment vertical="center"/>
    </x:xf>
    <x:xf numFmtId="0" fontId="7" fillId="11" borderId="1" xfId="0" applyNumberFormat="1" applyFont="1" applyFill="1" applyBorder="1"/>
    <x:xf numFmtId="0" fontId="7" fillId="11" borderId="1" xfId="0" applyNumberFormat="1" applyFont="1" applyFill="1" applyBorder="1" applyAlignment="1">
      <x:alignment horizontal="center" vertical="center"/>
    </x:xf>
    <x:xf numFmtId="0" fontId="7" fillId="11" borderId="1" xfId="0" applyNumberFormat="1" applyFont="1" applyFill="1" applyBorder="1" applyAlignment="1">
      <x:alignment horizontal="center"/>
    </x:xf>
    <x:xf numFmtId="0" fontId="3" fillId="11" borderId="1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horizontal="center" wrapText="1"/>
    </x:xf>
    <x:xf numFmtId="0" fontId="0" fillId="12" borderId="1" xfId="0" applyNumberFormat="1" applyFont="1" applyFill="1" applyBorder="1" applyAlignment="1">
      <x:alignment vertical="center"/>
    </x:xf>
    <x:xf numFmtId="0" fontId="0" fillId="12" borderId="1" xfId="0" applyNumberFormat="1" applyFont="1" applyFill="1" applyBorder="1"/>
    <x:xf numFmtId="0" fontId="3" fillId="12" borderId="1" xfId="0" applyNumberFormat="1" applyFont="1" applyFill="1" applyBorder="1"/>
    <x:xf numFmtId="0" fontId="3" fillId="12" borderId="1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 wrapText="1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 wrapText="1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/>
    </x:xf>
    <x:xf numFmtId="0" fontId="9" fillId="8" borderId="0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horizontal="center" wrapText="1"/>
    </x:xf>
    <x:xf numFmtId="0" fontId="8" fillId="8" borderId="1" xfId="0" applyNumberFormat="1" applyFont="1" applyFill="1" applyBorder="1" applyAlignment="1">
      <x:alignment vertical="center"/>
    </x:xf>
    <x:xf numFmtId="0" fontId="8" fillId="8" borderId="1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horizontal="center" wrapText="1"/>
    </x:xf>
    <x:xf numFmtId="0" fontId="8" fillId="8" borderId="1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horizontal="center"/>
    </x:xf>
    <x:xf numFmtId="0" fontId="9" fillId="8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10" fillId="2" borderId="1" xfId="0" applyNumberFormat="1" applyFont="1" applyFill="1" applyBorder="1"/>
    <x:xf numFmtId="0" fontId="10" fillId="2" borderId="1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horizontal="center"/>
    </x:xf>
    <x:xf numFmtId="0" fontId="11" fillId="13" borderId="0" xfId="0" applyNumberFormat="1" applyFont="1" applyFill="1" applyBorder="1" applyAlignment="1">
      <x:alignment horizontal="center" vertical="center"/>
    </x:xf>
    <x:xf numFmtId="0" fontId="0" fillId="13" borderId="1" xfId="0" applyNumberFormat="1" applyFont="1" applyFill="1" applyBorder="1"/>
    <x:xf numFmtId="0" fontId="11" fillId="13" borderId="1" xfId="0" applyNumberFormat="1" applyFont="1" applyFill="1" applyBorder="1"/>
    <x:xf numFmtId="0" fontId="11" fillId="13" borderId="1" xfId="0" applyNumberFormat="1" applyFont="1" applyFill="1" applyBorder="1" applyAlignment="1">
      <x:alignment horizontal="center"/>
    </x:xf>
    <x:xf numFmtId="0" fontId="11" fillId="13" borderId="1" xfId="0" applyNumberFormat="1" applyFont="1" applyFill="1" applyBorder="1" applyAlignment="1">
      <x:alignment horizontal="center" vertical="center"/>
    </x:xf>
    <x:xf numFmtId="201" fontId="11" fillId="13" borderId="0" xfId="0" applyNumberFormat="1" applyFont="1" applyFill="1" applyBorder="1" applyAlignment="1">
      <x:alignment horizontal="center" vertical="center"/>
    </x:xf>
    <x:xf numFmtId="201" fontId="11" fillId="13" borderId="1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0" xfId="0" applyNumberFormat="1" applyFont="1" applyFill="1" applyBorder="1" applyAlignment="1">
      <x:alignment horizontal="center"/>
    </x:xf>
    <x:xf numFmtId="0" fontId="0" fillId="14" borderId="1" xfId="0" applyNumberFormat="1" applyFont="1" applyFill="1" applyBorder="1"/>
    <x:xf numFmtId="0" fontId="12" fillId="14" borderId="1" xfId="0" applyNumberFormat="1" applyFont="1" applyFill="1" applyBorder="1"/>
    <x:xf numFmtId="0" fontId="12" fillId="14" borderId="1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2" borderId="0" xfId="0" applyNumberFormat="1" applyFont="1" applyFill="1" applyBorder="1" applyAlignment="1">
      <x:alignment vertical="center" wrapText="1"/>
    </x:xf>
    <x:xf numFmtId="0" fontId="13" fillId="12" borderId="1" xfId="0" applyNumberFormat="1" applyFont="1" applyFill="1" applyBorder="1"/>
    <x:xf numFmtId="0" fontId="13" fillId="12" borderId="1" xfId="0" applyNumberFormat="1" applyFont="1" applyFill="1" applyBorder="1" applyAlignment="1">
      <x:alignment wrapText="1"/>
    </x:xf>
    <x:xf numFmtId="0" fontId="13" fillId="12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64748B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64748B"/>
      </x:font>
      <x:fill>
        <x:patternFill patternType="solid">
          <x:bgColor rgb="FFF1F5F9"/>
        </x:patternFill>
      </x:fill>
    </x:dxf>
    <x:dxf>
      <x:font>
        <x:color rgb="FF94A3B8"/>
      </x:font>
      <x:fill>
        <x:patternFill patternType="solid">
          <x:bgColor rgb="FFF8FAFC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f57ae5ff3642e7" /><Relationship Type="http://schemas.openxmlformats.org/officeDocument/2006/relationships/theme" Target="/xl/theme/theme1.xml" Id="R98669645f05643a4" /><Relationship Type="http://schemas.openxmlformats.org/officeDocument/2006/relationships/sharedStrings" Target="/xl/sharedStrings.xml" Id="R974965243783422c" /><Relationship Type="http://schemas.openxmlformats.org/officeDocument/2006/relationships/worksheet" Target="/xl/worksheets/sheet1.xml" Id="R95176f0b8e004fba" /><Relationship Type="http://schemas.openxmlformats.org/officeDocument/2006/relationships/worksheet" Target="/xl/worksheets/sheet2.xml" Id="R41b38d62da264f4a" /><Relationship Type="http://schemas.openxmlformats.org/officeDocument/2006/relationships/worksheet" Target="/xl/worksheets/sheet3.xml" Id="Reb314628939a4a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532231392643b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13-Week Attendance Progress</a:t>
            </a:r>
          </a:p>
        </c:rich>
      </c:tx>
    </c:title>
    <c:plotArea>
      <c:lineChart>
        <c:grouping val="standard"/>
        <c:ser>
          <c:idx val="0"/>
          <c:order val="0"/>
          <c:tx>
            <c:v>Overall %</c:v>
          </c:tx>
          <c:marker>
            <c:symbol val="none"/>
          </c:marker>
          <c:cat>
            <c:strRef>
              <c:f>'Dashboard'!$L$28:$L$40</c:f>
              <c:strCache>
                <c:ptCount val="0"/>
              </c:strCache>
            </c:strRef>
          </c:cat>
          <c:val>
            <c:numRef>
              <c:f>'Dashboard'!$M$28:$M$40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10</xdr:row>
      <xdr:rowOff>0</xdr:rowOff>
    </xdr:from>
    <xdr:to>
      <xdr:col>16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532231392643b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8bc6bbd5a94e25" /></Relationships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1" hidden="0" customWidth="1"/>
    <x:col min="8" max="8" width="12" hidden="0" customWidth="1"/>
    <x:col min="9" max="9" width="10" hidden="0" customWidth="1"/>
    <x:col min="10" max="10" width="14" hidden="0" customWidth="1"/>
    <x:col min="11" max="11" width="3" hidden="0" customWidth="1"/>
    <x:col min="12" max="12" width="8" hidden="0" customWidth="1"/>
    <x:col min="13" max="13" width="12" hidden="0" customWidth="1"/>
    <x:col min="14" max="14" width="8" hidden="0" customWidth="1"/>
    <x:col min="15" max="15" width="8" hidden="0" customWidth="1"/>
    <x:col min="16" max="16" width="8" hidden="0" customWidth="1"/>
  </x:cols>
  <x:sheetData>
    <x:row r="1" ht="34" customHeight="1">
      <x:c r="A1" s="178" t="str">
        <x:v>BECM 2K22 • 3rd Year 2nd Term Attendance Dashboard</x:v>
      </x:c>
      <x:c r="B1" s="178"/>
      <x:c r="C1" s="178"/>
      <x:c r="D1" s="178"/>
      <x:c r="E1" s="178"/>
      <x:c r="F1" s="178"/>
      <x:c r="G1" s="178"/>
      <x:c r="H1" s="178"/>
      <x:c r="I1" s="178"/>
      <x:c r="J1" s="178"/>
      <x:c r="K1" s="178"/>
      <x:c r="L1" s="178"/>
      <x:c r="M1" s="178"/>
      <x:c r="N1" s="178"/>
      <x:c r="O1" s="178"/>
      <x:c r="P1" s="178"/>
    </x:row>
    <x:row r="2" ht="28" customHeight="1">
      <x:c r="A2" s="12" t="str">
        <x:v>60% minimum attendance for exam eligibility • 13 teaching weeks • Puja break excluded • Update only the Attendance dropdown in Class Log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</x:row>
    <x:row r="4">
      <x:c r="A4" s="32" t="str">
        <x:v>Overall Attendance</x:v>
      </x:c>
      <x:c r="B4" s="32"/>
      <x:c r="C4" s="32"/>
      <x:c r="E4" s="32" t="str">
        <x:v>Attended</x:v>
      </x:c>
      <x:c r="F4" s="32"/>
      <x:c r="G4" s="32"/>
      <x:c r="I4" s="32" t="str">
        <x:v>Missed</x:v>
      </x:c>
      <x:c r="J4" s="32"/>
      <x:c r="K4" s="32"/>
      <x:c r="M4" s="32" t="str">
        <x:v>Cancelled</x:v>
      </x:c>
      <x:c r="N4" s="32"/>
      <x:c r="O4" s="32"/>
    </x:row>
    <x:row r="5">
      <x:c r="A5" s="189" t="str">
        <x:f>IFERROR(SUM(E12:E20)/SUM(D12:D20),"")</x:f>
      </x:c>
      <x:c r="B5" s="184"/>
      <x:c r="C5" s="184"/>
      <x:c r="E5" s="184" t="n">
        <x:f>SUM(E12:E20)</x:f>
        <x:v>0</x:v>
      </x:c>
      <x:c r="F5" s="184"/>
      <x:c r="G5" s="184"/>
      <x:c r="I5" s="184" t="n">
        <x:f>SUM(F12:F20)</x:f>
        <x:v>0</x:v>
      </x:c>
      <x:c r="J5" s="184"/>
      <x:c r="K5" s="184"/>
      <x:c r="M5" s="184" t="n">
        <x:f>SUM(G12:G20)</x:f>
        <x:v>0</x:v>
      </x:c>
      <x:c r="N5" s="184"/>
      <x:c r="O5" s="184"/>
    </x:row>
    <x:row r="6">
      <x:c r="A6" s="184"/>
      <x:c r="B6" s="184"/>
      <x:c r="C6" s="184"/>
      <x:c r="E6" s="184"/>
      <x:c r="F6" s="184"/>
      <x:c r="G6" s="184"/>
      <x:c r="I6" s="184"/>
      <x:c r="J6" s="184"/>
      <x:c r="K6" s="184"/>
      <x:c r="M6" s="184"/>
      <x:c r="N6" s="184"/>
      <x:c r="O6" s="184"/>
    </x:row>
    <x:row r="8">
      <x:c r="A8" s="18" t="str">
        <x:v>Extra Classes</x:v>
      </x:c>
      <x:c r="B8" s="18"/>
      <x:c r="C8" s="18"/>
      <x:c r="E8" s="18" t="str">
        <x:v>Tests Logged</x:v>
      </x:c>
      <x:c r="F8" s="18"/>
      <x:c r="G8" s="18"/>
      <x:c r="I8" s="18" t="str">
        <x:v>Exam Rule</x:v>
      </x:c>
      <x:c r="J8" s="18"/>
      <x:c r="K8" s="18"/>
      <x:c r="M8" s="18" t="str">
        <x:v>Teaching Weeks</x:v>
      </x:c>
      <x:c r="N8" s="18"/>
      <x:c r="O8" s="18"/>
    </x:row>
    <x:row r="9">
      <x:c r="A9" s="193" t="n">
        <x:f>COUNTIFS('Class Log'!$D$1:$D$400,"Extra",'Class Log'!$K$1:$K$400,"Attended")+COUNTIFS('Class Log'!$D$1:$D$400,"Extra",'Class Log'!$K$1:$K$400,"Missed")</x:f>
        <x:v>0</x:v>
      </x:c>
      <x:c r="B9" s="193"/>
      <x:c r="C9" s="193"/>
      <x:c r="E9" s="193" t="n">
        <x:f>COUNTIF('Class Log'!$L$5:$L$400,"Spot Test")+COUNTIF('Class Log'!$L$5:$L$400,"CT")+COUNTIF('Class Log'!$L$5:$L$400,"Quiz")</x:f>
        <x:v>0</x:v>
      </x:c>
      <x:c r="F9" s="193"/>
      <x:c r="G9" s="193"/>
      <x:c r="I9" s="193" t="str">
        <x:v>≥ 60%</x:v>
      </x:c>
      <x:c r="J9" s="193"/>
      <x:c r="K9" s="193"/>
      <x:c r="M9" s="193" t="n">
        <x:v>13</x:v>
      </x:c>
      <x:c r="N9" s="193"/>
      <x:c r="O9" s="193"/>
    </x:row>
    <x:row r="11">
      <x:c r="A11" s="57" t="str">
        <x:v>Course</x:v>
      </x:c>
      <x:c r="B11" s="57" t="str">
        <x:v>Type</x:v>
      </x:c>
      <x:c r="C11" s="57" t="str">
        <x:v>Planned</x:v>
      </x:c>
      <x:c r="D11" s="57" t="str">
        <x:v>Held</x:v>
      </x:c>
      <x:c r="E11" s="57" t="str">
        <x:v>Attended</x:v>
      </x:c>
      <x:c r="F11" s="57" t="str">
        <x:v>Missed</x:v>
      </x:c>
      <x:c r="G11" s="57" t="str">
        <x:v>Cancelled</x:v>
      </x:c>
      <x:c r="H11" s="57" t="str">
        <x:v>Attendance</x:v>
      </x:c>
      <x:c r="I11" s="57" t="str">
        <x:v>Can Miss</x:v>
      </x:c>
      <x:c r="J11" s="57" t="str">
        <x:v>Exam Status</x:v>
      </x:c>
      <x:c r="L11" s="18"/>
      <x:c r="M11" s="18"/>
    </x:row>
    <x:row r="12">
      <x:c r="A12" s="23" t="str">
        <x:v>BECM 3201</x:v>
      </x:c>
      <x:c r="B12" s="23" t="str">
        <x:v>Theory</x:v>
      </x:c>
      <x:c r="C12" s="23" t="n">
        <x:f>COUNTIFS('Class Log'!$E$5:$E$290,"BECM 3201",'Class Log'!$P$5:$P$290,"Yes")</x:f>
        <x:v>39</x:v>
      </x:c>
      <x:c r="D12" s="23" t="n">
        <x:f>COUNTIFS('Class Log'!$E$5:$E$400,"BECM 3201",'Class Log'!$P$5:$P$400,"Yes",'Class Log'!$K$5:$K$400,"Attended")+COUNTIFS('Class Log'!$E$5:$E$400,"BECM 3201",'Class Log'!$P$5:$P$400,"Yes",'Class Log'!$K$5:$K$400,"Missed")</x:f>
        <x:v>0</x:v>
      </x:c>
      <x:c r="E12" s="23" t="n">
        <x:f>COUNTIFS('Class Log'!$E$5:$E$400,"BECM 3201",'Class Log'!$P$5:$P$400,"Yes",'Class Log'!$K$5:$K$400,"Attended")</x:f>
        <x:v>0</x:v>
      </x:c>
      <x:c r="F12" s="23" t="n">
        <x:f>COUNTIFS('Class Log'!$E$5:$E$400,"BECM 3201",'Class Log'!$P$5:$P$400,"Yes",'Class Log'!$K$5:$K$400,"Missed")</x:f>
        <x:v>0</x:v>
      </x:c>
      <x:c r="G12" s="23" t="n">
        <x:f>COUNTIFS('Class Log'!$E$5:$E$400,"BECM 3201",'Class Log'!$P$5:$P$400,"Yes",'Class Log'!$K$5:$K$400,"Cancelled")</x:f>
        <x:v>0</x:v>
      </x:c>
      <x:c r="H12" s="197" t="str">
        <x:f>IF(D12=0,"",E12/D12)</x:f>
      </x:c>
      <x:c r="I12" s="23" t="n">
        <x:f>IF(D12=0,0,MAX(0,INT(E12/0.6-D12)))</x:f>
        <x:v>0</x:v>
      </x:c>
      <x:c r="J12" s="23" t="str">
        <x:f>IF(D12=0,"Not started",IF(H12&gt;=0.6,"Eligible","Below 60%"))</x:f>
        <x:v>Not started</x:v>
      </x:c>
      <x:c r="L12"/>
      <x:c r="M12" s="199"/>
    </x:row>
    <x:row r="13">
      <x:c r="A13" s="23" t="str">
        <x:v>BECM 3205</x:v>
      </x:c>
      <x:c r="B13" s="23" t="str">
        <x:v>Theory</x:v>
      </x:c>
      <x:c r="C13" s="23" t="n">
        <x:f>COUNTIFS('Class Log'!$E$5:$E$290,"BECM 3205",'Class Log'!$P$5:$P$290,"Yes")</x:f>
        <x:v>39</x:v>
      </x:c>
      <x:c r="D13" s="23" t="n">
        <x:f>COUNTIFS('Class Log'!$E$5:$E$400,"BECM 3205",'Class Log'!$P$5:$P$400,"Yes",'Class Log'!$K$5:$K$400,"Attended")+COUNTIFS('Class Log'!$E$5:$E$400,"BECM 3205",'Class Log'!$P$5:$P$400,"Yes",'Class Log'!$K$5:$K$400,"Missed")</x:f>
        <x:v>0</x:v>
      </x:c>
      <x:c r="E13" s="23" t="n">
        <x:f>COUNTIFS('Class Log'!$E$5:$E$400,"BECM 3205",'Class Log'!$P$5:$P$400,"Yes",'Class Log'!$K$5:$K$400,"Attended")</x:f>
        <x:v>0</x:v>
      </x:c>
      <x:c r="F13" s="23" t="n">
        <x:f>COUNTIFS('Class Log'!$E$5:$E$400,"BECM 3205",'Class Log'!$P$5:$P$400,"Yes",'Class Log'!$K$5:$K$400,"Missed")</x:f>
        <x:v>0</x:v>
      </x:c>
      <x:c r="G13" s="23" t="n">
        <x:f>COUNTIFS('Class Log'!$E$5:$E$400,"BECM 3205",'Class Log'!$P$5:$P$400,"Yes",'Class Log'!$K$5:$K$400,"Cancelled")</x:f>
        <x:v>0</x:v>
      </x:c>
      <x:c r="H13" s="197" t="str">
        <x:f>IF(D13=0,"",E13/D13)</x:f>
      </x:c>
      <x:c r="I13" s="23" t="n">
        <x:f>IF(D13=0,0,MAX(0,INT(E13/0.6-D13)))</x:f>
        <x:v>0</x:v>
      </x:c>
      <x:c r="J13" s="23" t="str">
        <x:f>IF(D13=0,"Not started",IF(H13&gt;=0.6,"Eligible","Below 60%"))</x:f>
        <x:v>Not started</x:v>
      </x:c>
      <x:c r="L13"/>
      <x:c r="M13" s="199"/>
    </x:row>
    <x:row r="14">
      <x:c r="A14" s="23" t="str">
        <x:v>CE 3211</x:v>
      </x:c>
      <x:c r="B14" s="23" t="str">
        <x:v>Theory</x:v>
      </x:c>
      <x:c r="C14" s="23" t="n">
        <x:f>COUNTIFS('Class Log'!$E$5:$E$290,"CE 3211",'Class Log'!$P$5:$P$290,"Yes")</x:f>
        <x:v>39</x:v>
      </x:c>
      <x:c r="D14" s="23" t="n">
        <x:f>COUNTIFS('Class Log'!$E$5:$E$400,"CE 3211",'Class Log'!$P$5:$P$400,"Yes",'Class Log'!$K$5:$K$400,"Attended")+COUNTIFS('Class Log'!$E$5:$E$400,"CE 3211",'Class Log'!$P$5:$P$400,"Yes",'Class Log'!$K$5:$K$400,"Missed")</x:f>
        <x:v>0</x:v>
      </x:c>
      <x:c r="E14" s="23" t="n">
        <x:f>COUNTIFS('Class Log'!$E$5:$E$400,"CE 3211",'Class Log'!$P$5:$P$400,"Yes",'Class Log'!$K$5:$K$400,"Attended")</x:f>
        <x:v>0</x:v>
      </x:c>
      <x:c r="F14" s="23" t="n">
        <x:f>COUNTIFS('Class Log'!$E$5:$E$400,"CE 3211",'Class Log'!$P$5:$P$400,"Yes",'Class Log'!$K$5:$K$400,"Missed")</x:f>
        <x:v>0</x:v>
      </x:c>
      <x:c r="G14" s="23" t="n">
        <x:f>COUNTIFS('Class Log'!$E$5:$E$400,"CE 3211",'Class Log'!$P$5:$P$400,"Yes",'Class Log'!$K$5:$K$400,"Cancelled")</x:f>
        <x:v>0</x:v>
      </x:c>
      <x:c r="H14" s="197" t="str">
        <x:f>IF(D14=0,"",E14/D14)</x:f>
      </x:c>
      <x:c r="I14" s="23" t="n">
        <x:f>IF(D14=0,0,MAX(0,INT(E14/0.6-D14)))</x:f>
        <x:v>0</x:v>
      </x:c>
      <x:c r="J14" s="23" t="str">
        <x:f>IF(D14=0,"Not started",IF(H14&gt;=0.6,"Eligible","Below 60%"))</x:f>
        <x:v>Not started</x:v>
      </x:c>
      <x:c r="L14"/>
      <x:c r="M14" s="199"/>
    </x:row>
    <x:row r="15">
      <x:c r="A15" s="23" t="str">
        <x:v>CE 3213</x:v>
      </x:c>
      <x:c r="B15" s="23" t="str">
        <x:v>Theory</x:v>
      </x:c>
      <x:c r="C15" s="23" t="n">
        <x:f>COUNTIFS('Class Log'!$E$5:$E$290,"CE 3213",'Class Log'!$P$5:$P$290,"Yes")</x:f>
        <x:v>39</x:v>
      </x:c>
      <x:c r="D15" s="23" t="n">
        <x:f>COUNTIFS('Class Log'!$E$5:$E$400,"CE 3213",'Class Log'!$P$5:$P$400,"Yes",'Class Log'!$K$5:$K$400,"Attended")+COUNTIFS('Class Log'!$E$5:$E$400,"CE 3213",'Class Log'!$P$5:$P$400,"Yes",'Class Log'!$K$5:$K$400,"Missed")</x:f>
        <x:v>0</x:v>
      </x:c>
      <x:c r="E15" s="23" t="n">
        <x:f>COUNTIFS('Class Log'!$E$5:$E$400,"CE 3213",'Class Log'!$P$5:$P$400,"Yes",'Class Log'!$K$5:$K$400,"Attended")</x:f>
        <x:v>0</x:v>
      </x:c>
      <x:c r="F15" s="23" t="n">
        <x:f>COUNTIFS('Class Log'!$E$5:$E$400,"CE 3213",'Class Log'!$P$5:$P$400,"Yes",'Class Log'!$K$5:$K$400,"Missed")</x:f>
        <x:v>0</x:v>
      </x:c>
      <x:c r="G15" s="23" t="n">
        <x:f>COUNTIFS('Class Log'!$E$5:$E$400,"CE 3213",'Class Log'!$P$5:$P$400,"Yes",'Class Log'!$K$5:$K$400,"Cancelled")</x:f>
        <x:v>0</x:v>
      </x:c>
      <x:c r="H15" s="197" t="str">
        <x:f>IF(D15=0,"",E15/D15)</x:f>
      </x:c>
      <x:c r="I15" s="23" t="n">
        <x:f>IF(D15=0,0,MAX(0,INT(E15/0.6-D15)))</x:f>
        <x:v>0</x:v>
      </x:c>
      <x:c r="J15" s="23" t="str">
        <x:f>IF(D15=0,"Not started",IF(H15&gt;=0.6,"Eligible","Below 60%"))</x:f>
        <x:v>Not started</x:v>
      </x:c>
      <x:c r="L15"/>
      <x:c r="M15" s="199"/>
    </x:row>
    <x:row r="16">
      <x:c r="A16" s="23" t="str">
        <x:v>CE 3223</x:v>
      </x:c>
      <x:c r="B16" s="23" t="str">
        <x:v>Theory</x:v>
      </x:c>
      <x:c r="C16" s="23" t="n">
        <x:f>COUNTIFS('Class Log'!$E$5:$E$290,"CE 3223",'Class Log'!$P$5:$P$290,"Yes")</x:f>
        <x:v>39</x:v>
      </x:c>
      <x:c r="D16" s="23" t="n">
        <x:f>COUNTIFS('Class Log'!$E$5:$E$400,"CE 3223",'Class Log'!$P$5:$P$400,"Yes",'Class Log'!$K$5:$K$400,"Attended")+COUNTIFS('Class Log'!$E$5:$E$400,"CE 3223",'Class Log'!$P$5:$P$400,"Yes",'Class Log'!$K$5:$K$400,"Missed")</x:f>
        <x:v>0</x:v>
      </x:c>
      <x:c r="E16" s="23" t="n">
        <x:f>COUNTIFS('Class Log'!$E$5:$E$400,"CE 3223",'Class Log'!$P$5:$P$400,"Yes",'Class Log'!$K$5:$K$400,"Attended")</x:f>
        <x:v>0</x:v>
      </x:c>
      <x:c r="F16" s="23" t="n">
        <x:f>COUNTIFS('Class Log'!$E$5:$E$400,"CE 3223",'Class Log'!$P$5:$P$400,"Yes",'Class Log'!$K$5:$K$400,"Missed")</x:f>
        <x:v>0</x:v>
      </x:c>
      <x:c r="G16" s="23" t="n">
        <x:f>COUNTIFS('Class Log'!$E$5:$E$400,"CE 3223",'Class Log'!$P$5:$P$400,"Yes",'Class Log'!$K$5:$K$400,"Cancelled")</x:f>
        <x:v>0</x:v>
      </x:c>
      <x:c r="H16" s="197" t="str">
        <x:f>IF(D16=0,"",E16/D16)</x:f>
      </x:c>
      <x:c r="I16" s="23" t="n">
        <x:f>IF(D16=0,0,MAX(0,INT(E16/0.6-D16)))</x:f>
        <x:v>0</x:v>
      </x:c>
      <x:c r="J16" s="23" t="str">
        <x:f>IF(D16=0,"Not started",IF(H16&gt;=0.6,"Eligible","Below 60%"))</x:f>
        <x:v>Not started</x:v>
      </x:c>
      <x:c r="L16"/>
      <x:c r="M16" s="199"/>
    </x:row>
    <x:row r="17">
      <x:c r="A17" s="23" t="str">
        <x:v>BECM 3200</x:v>
      </x:c>
      <x:c r="B17" s="23" t="str">
        <x:v>Sessional</x:v>
      </x:c>
      <x:c r="C17" s="23" t="n">
        <x:f>COUNTIFS('Class Log'!$E$5:$E$290,"BECM 3200",'Class Log'!$P$5:$P$290,"Yes")</x:f>
        <x:v>7</x:v>
      </x:c>
      <x:c r="D17" s="23" t="n">
        <x:f>COUNTIFS('Class Log'!$E$5:$E$400,"BECM 3200",'Class Log'!$P$5:$P$400,"Yes",'Class Log'!$K$5:$K$400,"Attended")+COUNTIFS('Class Log'!$E$5:$E$400,"BECM 3200",'Class Log'!$P$5:$P$400,"Yes",'Class Log'!$K$5:$K$400,"Missed")</x:f>
        <x:v>0</x:v>
      </x:c>
      <x:c r="E17" s="23" t="n">
        <x:f>COUNTIFS('Class Log'!$E$5:$E$400,"BECM 3200",'Class Log'!$P$5:$P$400,"Yes",'Class Log'!$K$5:$K$400,"Attended")</x:f>
        <x:v>0</x:v>
      </x:c>
      <x:c r="F17" s="23" t="n">
        <x:f>COUNTIFS('Class Log'!$E$5:$E$400,"BECM 3200",'Class Log'!$P$5:$P$400,"Yes",'Class Log'!$K$5:$K$400,"Missed")</x:f>
        <x:v>0</x:v>
      </x:c>
      <x:c r="G17" s="23" t="n">
        <x:f>COUNTIFS('Class Log'!$E$5:$E$400,"BECM 3200",'Class Log'!$P$5:$P$400,"Yes",'Class Log'!$K$5:$K$400,"Cancelled")</x:f>
        <x:v>0</x:v>
      </x:c>
      <x:c r="H17" s="197" t="str">
        <x:f>IF(D17=0,"",E17/D17)</x:f>
      </x:c>
      <x:c r="I17" s="23" t="n">
        <x:f>IF(D17=0,0,MAX(0,INT(E17/0.6-D17)))</x:f>
        <x:v>0</x:v>
      </x:c>
      <x:c r="J17" s="23" t="str">
        <x:f>IF(D17=0,"Not started",IF(H17&gt;=0.6,"Eligible","Below 60%"))</x:f>
        <x:v>Not started</x:v>
      </x:c>
      <x:c r="L17"/>
      <x:c r="M17" s="199"/>
    </x:row>
    <x:row r="18">
      <x:c r="A18" s="23" t="str">
        <x:v>BECM 3204</x:v>
      </x:c>
      <x:c r="B18" s="23" t="str">
        <x:v>Sessional</x:v>
      </x:c>
      <x:c r="C18" s="23" t="n">
        <x:f>COUNTIFS('Class Log'!$E$5:$E$290,"BECM 3204",'Class Log'!$P$5:$P$290,"Yes")</x:f>
        <x:v>13</x:v>
      </x:c>
      <x:c r="D18" s="23" t="n">
        <x:f>COUNTIFS('Class Log'!$E$5:$E$400,"BECM 3204",'Class Log'!$P$5:$P$400,"Yes",'Class Log'!$K$5:$K$400,"Attended")+COUNTIFS('Class Log'!$E$5:$E$400,"BECM 3204",'Class Log'!$P$5:$P$400,"Yes",'Class Log'!$K$5:$K$400,"Missed")</x:f>
        <x:v>0</x:v>
      </x:c>
      <x:c r="E18" s="23" t="n">
        <x:f>COUNTIFS('Class Log'!$E$5:$E$400,"BECM 3204",'Class Log'!$P$5:$P$400,"Yes",'Class Log'!$K$5:$K$400,"Attended")</x:f>
        <x:v>0</x:v>
      </x:c>
      <x:c r="F18" s="23" t="n">
        <x:f>COUNTIFS('Class Log'!$E$5:$E$400,"BECM 3204",'Class Log'!$P$5:$P$400,"Yes",'Class Log'!$K$5:$K$400,"Missed")</x:f>
        <x:v>0</x:v>
      </x:c>
      <x:c r="G18" s="23" t="n">
        <x:f>COUNTIFS('Class Log'!$E$5:$E$400,"BECM 3204",'Class Log'!$P$5:$P$400,"Yes",'Class Log'!$K$5:$K$400,"Cancelled")</x:f>
        <x:v>0</x:v>
      </x:c>
      <x:c r="H18" s="197" t="str">
        <x:f>IF(D18=0,"",E18/D18)</x:f>
      </x:c>
      <x:c r="I18" s="23" t="n">
        <x:f>IF(D18=0,0,MAX(0,INT(E18/0.6-D18)))</x:f>
        <x:v>0</x:v>
      </x:c>
      <x:c r="J18" s="23" t="str">
        <x:f>IF(D18=0,"Not started",IF(H18&gt;=0.6,"Eligible","Below 60%"))</x:f>
        <x:v>Not started</x:v>
      </x:c>
      <x:c r="L18"/>
      <x:c r="M18" s="199"/>
    </x:row>
    <x:row r="19">
      <x:c r="A19" s="23" t="str">
        <x:v>BECM 3208</x:v>
      </x:c>
      <x:c r="B19" s="23" t="str">
        <x:v>Sessional</x:v>
      </x:c>
      <x:c r="C19" s="23" t="n">
        <x:f>COUNTIFS('Class Log'!$E$5:$E$290,"BECM 3208",'Class Log'!$P$5:$P$290,"Yes")</x:f>
        <x:v>13</x:v>
      </x:c>
      <x:c r="D19" s="23" t="n">
        <x:f>COUNTIFS('Class Log'!$E$5:$E$400,"BECM 3208",'Class Log'!$P$5:$P$400,"Yes",'Class Log'!$K$5:$K$400,"Attended")+COUNTIFS('Class Log'!$E$5:$E$400,"BECM 3208",'Class Log'!$P$5:$P$400,"Yes",'Class Log'!$K$5:$K$400,"Missed")</x:f>
        <x:v>0</x:v>
      </x:c>
      <x:c r="E19" s="23" t="n">
        <x:f>COUNTIFS('Class Log'!$E$5:$E$400,"BECM 3208",'Class Log'!$P$5:$P$400,"Yes",'Class Log'!$K$5:$K$400,"Attended")</x:f>
        <x:v>0</x:v>
      </x:c>
      <x:c r="F19" s="23" t="n">
        <x:f>COUNTIFS('Class Log'!$E$5:$E$400,"BECM 3208",'Class Log'!$P$5:$P$400,"Yes",'Class Log'!$K$5:$K$400,"Missed")</x:f>
        <x:v>0</x:v>
      </x:c>
      <x:c r="G19" s="23" t="n">
        <x:f>COUNTIFS('Class Log'!$E$5:$E$400,"BECM 3208",'Class Log'!$P$5:$P$400,"Yes",'Class Log'!$K$5:$K$400,"Cancelled")</x:f>
        <x:v>0</x:v>
      </x:c>
      <x:c r="H19" s="197" t="str">
        <x:f>IF(D19=0,"",E19/D19)</x:f>
      </x:c>
      <x:c r="I19" s="23" t="n">
        <x:f>IF(D19=0,0,MAX(0,INT(E19/0.6-D19)))</x:f>
        <x:v>0</x:v>
      </x:c>
      <x:c r="J19" s="23" t="str">
        <x:f>IF(D19=0,"Not started",IF(H19&gt;=0.6,"Eligible","Below 60%"))</x:f>
        <x:v>Not started</x:v>
      </x:c>
      <x:c r="L19"/>
      <x:c r="M19" s="199"/>
    </x:row>
    <x:row r="20">
      <x:c r="A20" s="23" t="str">
        <x:v>CE 3224</x:v>
      </x:c>
      <x:c r="B20" s="23" t="str">
        <x:v>Sessional</x:v>
      </x:c>
      <x:c r="C20" s="23" t="n">
        <x:f>COUNTIFS('Class Log'!$E$5:$E$290,"CE 3224",'Class Log'!$P$5:$P$290,"Yes")</x:f>
        <x:v>13</x:v>
      </x:c>
      <x:c r="D20" s="23" t="n">
        <x:f>COUNTIFS('Class Log'!$E$5:$E$400,"CE 3224",'Class Log'!$P$5:$P$400,"Yes",'Class Log'!$K$5:$K$400,"Attended")+COUNTIFS('Class Log'!$E$5:$E$400,"CE 3224",'Class Log'!$P$5:$P$400,"Yes",'Class Log'!$K$5:$K$400,"Missed")</x:f>
        <x:v>0</x:v>
      </x:c>
      <x:c r="E20" s="23" t="n">
        <x:f>COUNTIFS('Class Log'!$E$5:$E$400,"CE 3224",'Class Log'!$P$5:$P$400,"Yes",'Class Log'!$K$5:$K$400,"Attended")</x:f>
        <x:v>0</x:v>
      </x:c>
      <x:c r="F20" s="23" t="n">
        <x:f>COUNTIFS('Class Log'!$E$5:$E$400,"CE 3224",'Class Log'!$P$5:$P$400,"Yes",'Class Log'!$K$5:$K$400,"Missed")</x:f>
        <x:v>0</x:v>
      </x:c>
      <x:c r="G20" s="23" t="n">
        <x:f>COUNTIFS('Class Log'!$E$5:$E$400,"CE 3224",'Class Log'!$P$5:$P$400,"Yes",'Class Log'!$K$5:$K$400,"Cancelled")</x:f>
        <x:v>0</x:v>
      </x:c>
      <x:c r="H20" s="197" t="str">
        <x:f>IF(D20=0,"",E20/D20)</x:f>
      </x:c>
      <x:c r="I20" s="23" t="n">
        <x:f>IF(D20=0,0,MAX(0,INT(E20/0.6-D20)))</x:f>
        <x:v>0</x:v>
      </x:c>
      <x:c r="J20" s="23" t="str">
        <x:f>IF(D20=0,"Not started",IF(H20&gt;=0.6,"Eligible","Below 60%"))</x:f>
        <x:v>Not started</x:v>
      </x:c>
      <x:c r="L20"/>
      <x:c r="M20" s="199"/>
    </x:row>
    <x:row r="21">
      <x:c r="L21"/>
      <x:c r="M21" s="199"/>
    </x:row>
    <x:row r="22">
      <x:c r="A22" s="203" t="str">
        <x:v>Tip: only mark the yellow Attendance cells. Inactive alternate sessional slots are automatically ignored. Extra/make-up classes are at the bottom of Class Log.</x:v>
      </x:c>
      <x:c r="B22" s="203"/>
      <x:c r="C22" s="203"/>
      <x:c r="D22" s="203"/>
      <x:c r="E22" s="203"/>
      <x:c r="F22" s="203"/>
      <x:c r="G22" s="203"/>
      <x:c r="H22" s="203"/>
      <x:c r="I22" s="203"/>
      <x:c r="J22" s="203"/>
      <x:c r="L22"/>
      <x:c r="M22" s="199"/>
    </x:row>
    <x:row r="23">
      <x:c r="A23" s="203"/>
      <x:c r="B23" s="203"/>
      <x:c r="C23" s="203"/>
      <x:c r="D23" s="203"/>
      <x:c r="E23" s="203"/>
      <x:c r="F23" s="203"/>
      <x:c r="G23" s="203"/>
      <x:c r="H23" s="203"/>
      <x:c r="I23" s="203"/>
      <x:c r="J23" s="203"/>
      <x:c r="L23"/>
      <x:c r="M23" s="199"/>
    </x:row>
    <x:row r="24">
      <x:c r="L24"/>
      <x:c r="M24" s="199"/>
    </x:row>
    <x:row r="25">
      <x:c r="A25" s="102"/>
      <x:c r="B25" s="102"/>
      <x:c r="C25" s="102"/>
      <x:c r="D25" s="102"/>
      <x:c r="E25" s="102"/>
      <x:c r="F25" s="102"/>
      <x:c r="G25" s="102"/>
      <x:c r="H25" s="102"/>
      <x:c r="I25" s="102"/>
      <x:c r="J25" s="102"/>
      <x:c r="K25" s="102"/>
      <x:c r="L25" s="102"/>
      <x:c r="M25" s="102"/>
      <x:c r="N25" s="102"/>
      <x:c r="O25" s="102"/>
      <x:c r="P25" s="102"/>
    </x:row>
    <x:row r="27">
      <x:c r="L27" s="18" t="str">
        <x:v>Week</x:v>
      </x:c>
      <x:c r="M27" s="18" t="str">
        <x:v>Overall %</x:v>
      </x:c>
    </x:row>
    <x:row r="28">
      <x:c r="L28" t="n">
        <x:v>1</x:v>
      </x:c>
      <x:c r="M28" s="199" t="str">
        <x:f>IFERROR((COUNTIFS('Class Log'!$C$5:$C$400,L28,'Class Log'!$P$5:$P$400,"Yes",'Class Log'!$K$5:$K$400,"Attended"))/(COUNTIFS('Class Log'!$C$5:$C$400,L28,'Class Log'!$P$5:$P$400,"Yes",'Class Log'!$K$5:$K$400,"Attended")+COUNTIFS('Class Log'!$C$5:$C$400,L28,'Class Log'!$P$5:$P$400,"Yes",'Class Log'!$K$5:$K$400,"Missed")),"")</x:f>
      </x:c>
    </x:row>
    <x:row r="29">
      <x:c r="L29" t="n">
        <x:v>2</x:v>
      </x:c>
      <x:c r="M29" s="199" t="str">
        <x:f>IFERROR((COUNTIFS('Class Log'!$C$5:$C$400,L29,'Class Log'!$P$5:$P$400,"Yes",'Class Log'!$K$5:$K$400,"Attended"))/(COUNTIFS('Class Log'!$C$5:$C$400,L29,'Class Log'!$P$5:$P$400,"Yes",'Class Log'!$K$5:$K$400,"Attended")+COUNTIFS('Class Log'!$C$5:$C$400,L29,'Class Log'!$P$5:$P$400,"Yes",'Class Log'!$K$5:$K$400,"Missed")),"")</x:f>
      </x:c>
    </x:row>
    <x:row r="30">
      <x:c r="L30" t="n">
        <x:v>3</x:v>
      </x:c>
      <x:c r="M30" s="199" t="str">
        <x:f>IFERROR((COUNTIFS('Class Log'!$C$5:$C$400,L30,'Class Log'!$P$5:$P$400,"Yes",'Class Log'!$K$5:$K$400,"Attended"))/(COUNTIFS('Class Log'!$C$5:$C$400,L30,'Class Log'!$P$5:$P$400,"Yes",'Class Log'!$K$5:$K$400,"Attended")+COUNTIFS('Class Log'!$C$5:$C$400,L30,'Class Log'!$P$5:$P$400,"Yes",'Class Log'!$K$5:$K$400,"Missed")),"")</x:f>
      </x:c>
    </x:row>
    <x:row r="31">
      <x:c r="L31" t="n">
        <x:v>4</x:v>
      </x:c>
      <x:c r="M31" s="199" t="str">
        <x:f>IFERROR((COUNTIFS('Class Log'!$C$5:$C$400,L31,'Class Log'!$P$5:$P$400,"Yes",'Class Log'!$K$5:$K$400,"Attended"))/(COUNTIFS('Class Log'!$C$5:$C$400,L31,'Class Log'!$P$5:$P$400,"Yes",'Class Log'!$K$5:$K$400,"Attended")+COUNTIFS('Class Log'!$C$5:$C$400,L31,'Class Log'!$P$5:$P$400,"Yes",'Class Log'!$K$5:$K$400,"Missed")),"")</x:f>
      </x:c>
    </x:row>
    <x:row r="32">
      <x:c r="L32" t="n">
        <x:v>5</x:v>
      </x:c>
      <x:c r="M32" s="199" t="str">
        <x:f>IFERROR((COUNTIFS('Class Log'!$C$5:$C$400,L32,'Class Log'!$P$5:$P$400,"Yes",'Class Log'!$K$5:$K$400,"Attended"))/(COUNTIFS('Class Log'!$C$5:$C$400,L32,'Class Log'!$P$5:$P$400,"Yes",'Class Log'!$K$5:$K$400,"Attended")+COUNTIFS('Class Log'!$C$5:$C$400,L32,'Class Log'!$P$5:$P$400,"Yes",'Class Log'!$K$5:$K$400,"Missed")),"")</x:f>
      </x:c>
    </x:row>
    <x:row r="33">
      <x:c r="L33" t="n">
        <x:v>6</x:v>
      </x:c>
      <x:c r="M33" s="199" t="str">
        <x:f>IFERROR((COUNTIFS('Class Log'!$C$5:$C$400,L33,'Class Log'!$P$5:$P$400,"Yes",'Class Log'!$K$5:$K$400,"Attended"))/(COUNTIFS('Class Log'!$C$5:$C$400,L33,'Class Log'!$P$5:$P$400,"Yes",'Class Log'!$K$5:$K$400,"Attended")+COUNTIFS('Class Log'!$C$5:$C$400,L33,'Class Log'!$P$5:$P$400,"Yes",'Class Log'!$K$5:$K$400,"Missed")),"")</x:f>
      </x:c>
    </x:row>
    <x:row r="34">
      <x:c r="L34" t="n">
        <x:v>7</x:v>
      </x:c>
      <x:c r="M34" s="199" t="str">
        <x:f>IFERROR((COUNTIFS('Class Log'!$C$5:$C$400,L34,'Class Log'!$P$5:$P$400,"Yes",'Class Log'!$K$5:$K$400,"Attended"))/(COUNTIFS('Class Log'!$C$5:$C$400,L34,'Class Log'!$P$5:$P$400,"Yes",'Class Log'!$K$5:$K$400,"Attended")+COUNTIFS('Class Log'!$C$5:$C$400,L34,'Class Log'!$P$5:$P$400,"Yes",'Class Log'!$K$5:$K$400,"Missed")),"")</x:f>
      </x:c>
    </x:row>
    <x:row r="35">
      <x:c r="L35" t="n">
        <x:v>8</x:v>
      </x:c>
      <x:c r="M35" s="199" t="str">
        <x:f>IFERROR((COUNTIFS('Class Log'!$C$5:$C$400,L35,'Class Log'!$P$5:$P$400,"Yes",'Class Log'!$K$5:$K$400,"Attended"))/(COUNTIFS('Class Log'!$C$5:$C$400,L35,'Class Log'!$P$5:$P$400,"Yes",'Class Log'!$K$5:$K$400,"Attended")+COUNTIFS('Class Log'!$C$5:$C$400,L35,'Class Log'!$P$5:$P$400,"Yes",'Class Log'!$K$5:$K$400,"Missed")),"")</x:f>
      </x:c>
    </x:row>
    <x:row r="36">
      <x:c r="L36" t="n">
        <x:v>9</x:v>
      </x:c>
      <x:c r="M36" s="199" t="str">
        <x:f>IFERROR((COUNTIFS('Class Log'!$C$5:$C$400,L36,'Class Log'!$P$5:$P$400,"Yes",'Class Log'!$K$5:$K$400,"Attended"))/(COUNTIFS('Class Log'!$C$5:$C$400,L36,'Class Log'!$P$5:$P$400,"Yes",'Class Log'!$K$5:$K$400,"Attended")+COUNTIFS('Class Log'!$C$5:$C$400,L36,'Class Log'!$P$5:$P$400,"Yes",'Class Log'!$K$5:$K$400,"Missed")),"")</x:f>
      </x:c>
    </x:row>
    <x:row r="37">
      <x:c r="L37" t="n">
        <x:v>10</x:v>
      </x:c>
      <x:c r="M37" s="199" t="str">
        <x:f>IFERROR((COUNTIFS('Class Log'!$C$5:$C$400,L37,'Class Log'!$P$5:$P$400,"Yes",'Class Log'!$K$5:$K$400,"Attended"))/(COUNTIFS('Class Log'!$C$5:$C$400,L37,'Class Log'!$P$5:$P$400,"Yes",'Class Log'!$K$5:$K$400,"Attended")+COUNTIFS('Class Log'!$C$5:$C$400,L37,'Class Log'!$P$5:$P$400,"Yes",'Class Log'!$K$5:$K$400,"Missed")),"")</x:f>
      </x:c>
    </x:row>
    <x:row r="38">
      <x:c r="L38" t="n">
        <x:v>11</x:v>
      </x:c>
      <x:c r="M38" s="199" t="str">
        <x:f>IFERROR((COUNTIFS('Class Log'!$C$5:$C$400,L38,'Class Log'!$P$5:$P$400,"Yes",'Class Log'!$K$5:$K$400,"Attended"))/(COUNTIFS('Class Log'!$C$5:$C$400,L38,'Class Log'!$P$5:$P$400,"Yes",'Class Log'!$K$5:$K$400,"Attended")+COUNTIFS('Class Log'!$C$5:$C$400,L38,'Class Log'!$P$5:$P$400,"Yes",'Class Log'!$K$5:$K$400,"Missed")),"")</x:f>
      </x:c>
    </x:row>
    <x:row r="39">
      <x:c r="L39" t="n">
        <x:v>12</x:v>
      </x:c>
      <x:c r="M39" s="199" t="str">
        <x:f>IFERROR((COUNTIFS('Class Log'!$C$5:$C$400,L39,'Class Log'!$P$5:$P$400,"Yes",'Class Log'!$K$5:$K$400,"Attended"))/(COUNTIFS('Class Log'!$C$5:$C$400,L39,'Class Log'!$P$5:$P$400,"Yes",'Class Log'!$K$5:$K$400,"Attended")+COUNTIFS('Class Log'!$C$5:$C$400,L39,'Class Log'!$P$5:$P$400,"Yes",'Class Log'!$K$5:$K$400,"Missed")),"")</x:f>
      </x:c>
    </x:row>
    <x:row r="40">
      <x:c r="L40" t="n">
        <x:v>13</x:v>
      </x:c>
      <x:c r="M40" s="199" t="str">
        <x:f>IFERROR((COUNTIFS('Class Log'!$C$5:$C$400,L40,'Class Log'!$P$5:$P$400,"Yes",'Class Log'!$K$5:$K$400,"Attended"))/(COUNTIFS('Class Log'!$C$5:$C$400,L40,'Class Log'!$P$5:$P$400,"Yes",'Class Log'!$K$5:$K$400,"Attended")+COUNTIFS('Class Log'!$C$5:$C$400,L40,'Class Log'!$P$5:$P$400,"Yes",'Class Log'!$K$5:$K$400,"Missed")),"")</x:f>
      </x:c>
    </x:row>
    <x:row r="42">
      <x:c r="A42" s="102" t="str">
        <x:v>Designed for BECM 2K22 by K.I.Rohan • Bad Time Studio</x:v>
      </x:c>
      <x:c r="B42" s="102"/>
      <x:c r="C42" s="102"/>
      <x:c r="D42" s="102"/>
      <x:c r="E42" s="102"/>
      <x:c r="F42" s="102"/>
      <x:c r="G42" s="102"/>
      <x:c r="H42" s="102"/>
      <x:c r="I42" s="102"/>
      <x:c r="J42" s="102"/>
      <x:c r="K42" s="102"/>
      <x:c r="L42" s="102"/>
      <x:c r="M42" s="102"/>
      <x:c r="N42" s="102"/>
      <x:c r="O42" s="102"/>
      <x:c r="P42" s="102"/>
    </x:row>
  </x:sheetData>
  <x:mergeCells>
    <x:mergeCell ref="A1:P1"/>
    <x:mergeCell ref="A2:P2"/>
    <x:mergeCell ref="A4:C4"/>
    <x:mergeCell ref="E4:G4"/>
    <x:mergeCell ref="I4:K4"/>
    <x:mergeCell ref="M4:O4"/>
    <x:mergeCell ref="A5:C6"/>
    <x:mergeCell ref="E5:G6"/>
    <x:mergeCell ref="I5:K6"/>
    <x:mergeCell ref="M5:O6"/>
    <x:mergeCell ref="A8:C8"/>
    <x:mergeCell ref="E8:G8"/>
    <x:mergeCell ref="I8:K8"/>
    <x:mergeCell ref="M8:O8"/>
    <x:mergeCell ref="A9:C9"/>
    <x:mergeCell ref="E9:G9"/>
    <x:mergeCell ref="I9:K9"/>
    <x:mergeCell ref="M9:O9"/>
    <x:mergeCell ref="A22:J23"/>
    <x:mergeCell ref="A25:P25"/>
    <x:mergeCell ref="A42:P42"/>
  </x:mergeCells>
  <x:conditionalFormatting sqref="H12:H20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conditionalFormatting sqref="J12:J20">
    <x:cfRule type="expression" dxfId="8" priority="2">
      <x:formula>J12="Eligible"</x:formula>
    </x:cfRule>
    <x:cfRule type="expression" dxfId="9" priority="3">
      <x:formula>J12="Below 60%"</x:formula>
    </x:cfRule>
  </x:conditionalFormatting>
  <x:conditionalFormatting sqref="I12:I20">
    <x:cfRule type="dataBar" priority="4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{C5593AA7-0028-5BEA-E3E0-8178783C1A47}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5b8bc6bbd5a94e25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C5593AA7-0028-5BEA-E3E0-8178783C1A47}">
            <x14:dataBar gradient="1">
              <x14:cfvo type="min"/>
              <x14:cfvo type="max"/>
              <x14:fillColor rgb="FFA02B93"/>
            </x14:dataBar>
          </x14:cfRule>
          <xm:sqref>I12:I20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7" hidden="0" customWidth="1"/>
    <x:col min="3" max="3" width="7" hidden="0" customWidth="1"/>
    <x:col min="4" max="4" width="9" hidden="0" customWidth="1"/>
    <x:col min="5" max="5" width="12" hidden="0" customWidth="1"/>
    <x:col min="6" max="6" width="34" hidden="0" customWidth="1"/>
    <x:col min="7" max="7" width="19" hidden="0" customWidth="1"/>
    <x:col min="8" max="8" width="14" hidden="0" customWidth="1"/>
    <x:col min="9" max="9" width="8" hidden="0" customWidth="1"/>
    <x:col min="10" max="10" width="13" hidden="0" customWidth="1"/>
    <x:col min="11" max="11" width="13" hidden="0" customWidth="1"/>
    <x:col min="12" max="12" width="12" hidden="0" customWidth="1"/>
    <x:col min="13" max="13" width="8" hidden="0" customWidth="1"/>
    <x:col min="14" max="14" width="8" hidden="0" customWidth="1"/>
    <x:col min="15" max="15" width="28" hidden="0" customWidth="1"/>
    <x:col min="16" max="16" width="8" hidden="0" customWidth="1"/>
  </x:cols>
  <x:sheetData>
    <x:row r="1" ht="30" customHeight="1">
      <x:c r="A1" s="111" t="str">
        <x:v>BECM 2K22 • Attendance &amp; Class Log</x:v>
      </x:c>
      <x:c r="B1" s="111"/>
      <x:c r="C1" s="111"/>
      <x:c r="D1" s="111"/>
      <x:c r="E1" s="111"/>
      <x:c r="F1" s="111"/>
      <x:c r="G1" s="111"/>
      <x:c r="H1" s="111"/>
      <x:c r="I1" s="111"/>
      <x:c r="J1" s="111"/>
      <x:c r="K1" s="111"/>
      <x:c r="L1" s="111"/>
      <x:c r="M1" s="111"/>
      <x:c r="N1" s="111"/>
      <x:c r="O1" s="111"/>
      <x:c r="P1" s="111"/>
    </x:row>
    <x:row r="2" ht="28" customHeight="1">
      <x:c r="A2" s="12" t="str">
        <x:v>Daily use: choose Attended / Missed / Cancelled. Blank = not marked yet. Cancelled classes never reduce attendance.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</x:row>
    <x:row r="4" ht="30" customHeight="1">
      <x:c r="A4" s="113" t="str">
        <x:v>Date</x:v>
      </x:c>
      <x:c r="B4" s="113" t="str">
        <x:v>Day</x:v>
      </x:c>
      <x:c r="C4" s="113" t="str">
        <x:v>Week</x:v>
      </x:c>
      <x:c r="D4" s="113" t="str">
        <x:v>Type</x:v>
      </x:c>
      <x:c r="E4" s="113" t="str">
        <x:v>Course</x:v>
      </x:c>
      <x:c r="F4" s="113" t="str">
        <x:v>Course Title</x:v>
      </x:c>
      <x:c r="G4" s="113" t="str">
        <x:v>Time</x:v>
      </x:c>
      <x:c r="H4" s="113" t="str">
        <x:v>Teacher(s)</x:v>
      </x:c>
      <x:c r="I4" s="113" t="str">
        <x:v>Room</x:v>
      </x:c>
      <x:c r="J4" s="113" t="str">
        <x:v>Routine Slot</x:v>
      </x:c>
      <x:c r="K4" s="113" t="str">
        <x:v>Attendance</x:v>
      </x:c>
      <x:c r="L4" s="113" t="str">
        <x:v>Test / Quiz</x:v>
      </x:c>
      <x:c r="M4" s="113" t="str">
        <x:v>Score</x:v>
      </x:c>
      <x:c r="N4" s="113" t="str">
        <x:v>Out of</x:v>
      </x:c>
      <x:c r="O4" s="113" t="str">
        <x:v>Notes</x:v>
      </x:c>
      <x:c r="P4" s="113" t="str">
        <x:v>Auto</x:v>
      </x:c>
    </x:row>
    <x:row r="5">
      <x:c r="A5" s="123" t="n">
        <x:v>46271</x:v>
      </x:c>
      <x:c r="B5" s="23" t="str">
        <x:v>Sun</x:v>
      </x:c>
      <x:c r="C5" s="23" t="n">
        <x:v>1</x:v>
      </x:c>
      <x:c r="D5" s="23" t="str">
        <x:v>Regular</x:v>
      </x:c>
      <x:c r="E5" s="23" t="str">
        <x:v>CE 3213</x:v>
      </x:c>
      <x:c r="F5" s="173" t="str">
        <x:v>Reinforced Concrete Structures - II</x:v>
      </x:c>
      <x:c r="G5" s="23" t="str">
        <x:v>10:40 AM–11:30 AM</x:v>
      </x:c>
      <x:c r="H5" s="23" t="str">
        <x:v>HRS</x:v>
      </x:c>
      <x:c r="I5" s="23" t="str">
        <x:v>501</x:v>
      </x:c>
      <x:c r="J5" s="23" t="str">
        <x:v>SUN P4</x:v>
      </x:c>
      <x:c r="K5" s="131" t="str"/>
      <x:c r="L5" s="143" t="str"/>
      <x:c r="M5" s="143" t="str"/>
      <x:c r="N5" s="143" t="str"/>
      <x:c r="O5" s="173" t="str"/>
      <x:c r="P5" s="159" t="str">
        <x:f>IF(COUNTIF('Routine &amp; Settings'!$I$5:$I$30,A5)&gt;0,"No",IF(E5="BECM 3204",IF(J5='Routine &amp; Settings'!$B$5,"Yes","No"),IF(E5="BECM 3208",IF(J5='Routine &amp; Settings'!$B$6,"Yes","No"),IF(E5="CE 3224",IF(J5='Routine &amp; Settings'!$B$7,"Yes","No"),IF(E5="BECM 3200",IF('Routine &amp; Settings'!$B$8="Odd Weeks",IF(MOD(C5,2)=1,"Yes","No"),IF(MOD(C5,2)=0,"Yes","No")),"Yes")))))</x:f>
        <x:v>Yes</x:v>
      </x:c>
    </x:row>
    <x:row r="6">
      <x:c r="A6" s="123" t="n">
        <x:v>46271</x:v>
      </x:c>
      <x:c r="B6" s="23" t="str">
        <x:v>Sun</x:v>
      </x:c>
      <x:c r="C6" s="23" t="n">
        <x:v>1</x:v>
      </x:c>
      <x:c r="D6" s="23" t="str">
        <x:v>Regular</x:v>
      </x:c>
      <x:c r="E6" s="23" t="str">
        <x:v>CE 3223</x:v>
      </x:c>
      <x:c r="F6" s="173" t="str">
        <x:v>Soil Mechanics</x:v>
      </x:c>
      <x:c r="G6" s="23" t="str">
        <x:v>11:30 AM–12:20 PM</x:v>
      </x:c>
      <x:c r="H6" s="23" t="str">
        <x:v>MSA</x:v>
      </x:c>
      <x:c r="I6" s="23" t="str">
        <x:v>501</x:v>
      </x:c>
      <x:c r="J6" s="23" t="str">
        <x:v>SUN P5</x:v>
      </x:c>
      <x:c r="K6" s="131" t="str"/>
      <x:c r="L6" s="143" t="str"/>
      <x:c r="M6" s="143" t="str"/>
      <x:c r="N6" s="143" t="str"/>
      <x:c r="O6" s="173" t="str"/>
      <x:c r="P6" s="159" t="str">
        <x:f>IF(COUNTIF('Routine &amp; Settings'!$I$5:$I$30,A6)&gt;0,"No",IF(E6="BECM 3204",IF(J6='Routine &amp; Settings'!$B$5,"Yes","No"),IF(E6="BECM 3208",IF(J6='Routine &amp; Settings'!$B$6,"Yes","No"),IF(E6="CE 3224",IF(J6='Routine &amp; Settings'!$B$7,"Yes","No"),IF(E6="BECM 3200",IF('Routine &amp; Settings'!$B$8="Odd Weeks",IF(MOD(C6,2)=1,"Yes","No"),IF(MOD(C6,2)=0,"Yes","No")),"Yes")))))</x:f>
        <x:v>Yes</x:v>
      </x:c>
    </x:row>
    <x:row r="7">
      <x:c r="A7" s="123" t="n">
        <x:v>46271</x:v>
      </x:c>
      <x:c r="B7" s="23" t="str">
        <x:v>Sun</x:v>
      </x:c>
      <x:c r="C7" s="23" t="n">
        <x:v>1</x:v>
      </x:c>
      <x:c r="D7" s="23" t="str">
        <x:v>Regular</x:v>
      </x:c>
      <x:c r="E7" s="23" t="str">
        <x:v>CE 3211</x:v>
      </x:c>
      <x:c r="F7" s="173" t="str">
        <x:v>Structural Analysis and Design - II</x:v>
      </x:c>
      <x:c r="G7" s="23" t="str">
        <x:v>12:20 PM–01:10 PM</x:v>
      </x:c>
      <x:c r="H7" s="23" t="str">
        <x:v>MKI</x:v>
      </x:c>
      <x:c r="I7" s="23" t="str">
        <x:v>501</x:v>
      </x:c>
      <x:c r="J7" s="23" t="str">
        <x:v>SUN P6</x:v>
      </x:c>
      <x:c r="K7" s="131" t="str"/>
      <x:c r="L7" s="143" t="str"/>
      <x:c r="M7" s="143" t="str"/>
      <x:c r="N7" s="143" t="str"/>
      <x:c r="O7" s="173" t="str"/>
      <x:c r="P7" s="159" t="str">
        <x:f>IF(COUNTIF('Routine &amp; Settings'!$I$5:$I$30,A7)&gt;0,"No",IF(E7="BECM 3204",IF(J7='Routine &amp; Settings'!$B$5,"Yes","No"),IF(E7="BECM 3208",IF(J7='Routine &amp; Settings'!$B$6,"Yes","No"),IF(E7="CE 3224",IF(J7='Routine &amp; Settings'!$B$7,"Yes","No"),IF(E7="BECM 3200",IF('Routine &amp; Settings'!$B$8="Odd Weeks",IF(MOD(C7,2)=1,"Yes","No"),IF(MOD(C7,2)=0,"Yes","No")),"Yes")))))</x:f>
        <x:v>Yes</x:v>
      </x:c>
    </x:row>
    <x:row r="8">
      <x:c r="A8" s="123" t="n">
        <x:v>46271</x:v>
      </x:c>
      <x:c r="B8" s="23" t="str">
        <x:v>Sun</x:v>
      </x:c>
      <x:c r="C8" s="23" t="n">
        <x:v>1</x:v>
      </x:c>
      <x:c r="D8" s="23" t="str">
        <x:v>Regular</x:v>
      </x:c>
      <x:c r="E8" s="23" t="str">
        <x:v>BECM 3204</x:v>
      </x:c>
      <x:c r="F8" s="173" t="str">
        <x:v>Construction Techniques and Equipments - II</x:v>
      </x:c>
      <x:c r="G8" s="23" t="str">
        <x:v>02:30 PM–05:00 PM</x:v>
      </x:c>
      <x:c r="H8" s="23" t="str">
        <x:v>HRS/MR</x:v>
      </x:c>
      <x:c r="I8" s="23" t="str">
        <x:v>404</x:v>
      </x:c>
      <x:c r="J8" s="23" t="str">
        <x:v>Sun PM</x:v>
      </x:c>
      <x:c r="K8" s="131" t="str"/>
      <x:c r="L8" s="143" t="str"/>
      <x:c r="M8" s="143" t="str"/>
      <x:c r="N8" s="143" t="str"/>
      <x:c r="O8" s="173" t="str"/>
      <x:c r="P8" s="159" t="str">
        <x:f>IF(COUNTIF('Routine &amp; Settings'!$I$5:$I$30,A8)&gt;0,"No",IF(E8="BECM 3204",IF(J8='Routine &amp; Settings'!$B$5,"Yes","No"),IF(E8="BECM 3208",IF(J8='Routine &amp; Settings'!$B$6,"Yes","No"),IF(E8="CE 3224",IF(J8='Routine &amp; Settings'!$B$7,"Yes","No"),IF(E8="BECM 3200",IF('Routine &amp; Settings'!$B$8="Odd Weeks",IF(MOD(C8,2)=1,"Yes","No"),IF(MOD(C8,2)=0,"Yes","No")),"Yes")))))</x:f>
        <x:v>Yes</x:v>
      </x:c>
    </x:row>
    <x:row r="9">
      <x:c r="A9" s="123" t="n">
        <x:v>46272</x:v>
      </x:c>
      <x:c r="B9" s="23" t="str">
        <x:v>Mon</x:v>
      </x:c>
      <x:c r="C9" s="23" t="n">
        <x:v>1</x:v>
      </x:c>
      <x:c r="D9" s="23" t="str">
        <x:v>Regular</x:v>
      </x:c>
      <x:c r="E9" s="23" t="str">
        <x:v>CE 3223</x:v>
      </x:c>
      <x:c r="F9" s="173" t="str">
        <x:v>Soil Mechanics</x:v>
      </x:c>
      <x:c r="G9" s="23" t="str">
        <x:v>09:40 AM–10:30 AM</x:v>
      </x:c>
      <x:c r="H9" s="23" t="str">
        <x:v>MHI/MSA</x:v>
      </x:c>
      <x:c r="I9" s="23" t="str">
        <x:v>404</x:v>
      </x:c>
      <x:c r="J9" s="23" t="str">
        <x:v>MON P3</x:v>
      </x:c>
      <x:c r="K9" s="131" t="str"/>
      <x:c r="L9" s="143" t="str"/>
      <x:c r="M9" s="143" t="str"/>
      <x:c r="N9" s="143" t="str"/>
      <x:c r="O9" s="173" t="str"/>
      <x:c r="P9" s="159" t="str">
        <x:f>IF(COUNTIF('Routine &amp; Settings'!$I$5:$I$30,A9)&gt;0,"No",IF(E9="BECM 3204",IF(J9='Routine &amp; Settings'!$B$5,"Yes","No"),IF(E9="BECM 3208",IF(J9='Routine &amp; Settings'!$B$6,"Yes","No"),IF(E9="CE 3224",IF(J9='Routine &amp; Settings'!$B$7,"Yes","No"),IF(E9="BECM 3200",IF('Routine &amp; Settings'!$B$8="Odd Weeks",IF(MOD(C9,2)=1,"Yes","No"),IF(MOD(C9,2)=0,"Yes","No")),"Yes")))))</x:f>
        <x:v>Yes</x:v>
      </x:c>
    </x:row>
    <x:row r="10">
      <x:c r="A10" s="123" t="n">
        <x:v>46272</x:v>
      </x:c>
      <x:c r="B10" s="23" t="str">
        <x:v>Mon</x:v>
      </x:c>
      <x:c r="C10" s="23" t="n">
        <x:v>1</x:v>
      </x:c>
      <x:c r="D10" s="23" t="str">
        <x:v>Regular</x:v>
      </x:c>
      <x:c r="E10" s="23" t="str">
        <x:v>BECM 3201</x:v>
      </x:c>
      <x:c r="F10" s="173" t="str">
        <x:v>Construction and Project Management - II</x:v>
      </x:c>
      <x:c r="G10" s="23" t="str">
        <x:v>11:30 AM–12:20 PM</x:v>
      </x:c>
      <x:c r="H10" s="23" t="str">
        <x:v>MR</x:v>
      </x:c>
      <x:c r="I10" s="23" t="str">
        <x:v>405</x:v>
      </x:c>
      <x:c r="J10" s="23" t="str">
        <x:v>MON P5</x:v>
      </x:c>
      <x:c r="K10" s="131" t="str"/>
      <x:c r="L10" s="143" t="str"/>
      <x:c r="M10" s="143" t="str"/>
      <x:c r="N10" s="143" t="str"/>
      <x:c r="O10" s="173" t="str"/>
      <x:c r="P10" s="159" t="str">
        <x:f>IF(COUNTIF('Routine &amp; Settings'!$I$5:$I$30,A10)&gt;0,"No",IF(E10="BECM 3204",IF(J10='Routine &amp; Settings'!$B$5,"Yes","No"),IF(E10="BECM 3208",IF(J10='Routine &amp; Settings'!$B$6,"Yes","No"),IF(E10="CE 3224",IF(J10='Routine &amp; Settings'!$B$7,"Yes","No"),IF(E10="BECM 3200",IF('Routine &amp; Settings'!$B$8="Odd Weeks",IF(MOD(C10,2)=1,"Yes","No"),IF(MOD(C10,2)=0,"Yes","No")),"Yes")))))</x:f>
        <x:v>Yes</x:v>
      </x:c>
    </x:row>
    <x:row r="11">
      <x:c r="A11" s="123" t="n">
        <x:v>46272</x:v>
      </x:c>
      <x:c r="B11" s="23" t="str">
        <x:v>Mon</x:v>
      </x:c>
      <x:c r="C11" s="23" t="n">
        <x:v>1</x:v>
      </x:c>
      <x:c r="D11" s="23" t="str">
        <x:v>Regular</x:v>
      </x:c>
      <x:c r="E11" s="23" t="str">
        <x:v>BECM 3205</x:v>
      </x:c>
      <x:c r="F11" s="173" t="str">
        <x:v>Acoustics and Lighting</x:v>
      </x:c>
      <x:c r="G11" s="23" t="str">
        <x:v>12:20 PM–01:10 PM</x:v>
      </x:c>
      <x:c r="H11" s="23" t="str">
        <x:v>AAM</x:v>
      </x:c>
      <x:c r="I11" s="23" t="str">
        <x:v>405</x:v>
      </x:c>
      <x:c r="J11" s="23" t="str">
        <x:v>MON P6</x:v>
      </x:c>
      <x:c r="K11" s="131" t="str"/>
      <x:c r="L11" s="143" t="str"/>
      <x:c r="M11" s="143" t="str"/>
      <x:c r="N11" s="143" t="str"/>
      <x:c r="O11" s="173" t="str"/>
      <x:c r="P11" s="159" t="str">
        <x:f>IF(COUNTIF('Routine &amp; Settings'!$I$5:$I$30,A11)&gt;0,"No",IF(E11="BECM 3204",IF(J11='Routine &amp; Settings'!$B$5,"Yes","No"),IF(E11="BECM 3208",IF(J11='Routine &amp; Settings'!$B$6,"Yes","No"),IF(E11="CE 3224",IF(J11='Routine &amp; Settings'!$B$7,"Yes","No"),IF(E11="BECM 3200",IF('Routine &amp; Settings'!$B$8="Odd Weeks",IF(MOD(C11,2)=1,"Yes","No"),IF(MOD(C11,2)=0,"Yes","No")),"Yes")))))</x:f>
        <x:v>Yes</x:v>
      </x:c>
    </x:row>
    <x:row r="12">
      <x:c r="A12" s="123" t="n">
        <x:v>46272</x:v>
      </x:c>
      <x:c r="B12" s="23" t="str">
        <x:v>Mon</x:v>
      </x:c>
      <x:c r="C12" s="23" t="n">
        <x:v>1</x:v>
      </x:c>
      <x:c r="D12" s="23" t="str">
        <x:v>Regular</x:v>
      </x:c>
      <x:c r="E12" s="23" t="str">
        <x:v>BECM 3200</x:v>
      </x:c>
      <x:c r="F12" s="173" t="str">
        <x:v>Project and Seminar</x:v>
      </x:c>
      <x:c r="G12" s="23" t="str">
        <x:v>02:30 PM–05:00 PM</x:v>
      </x:c>
      <x:c r="H12" s="23" t="str">
        <x:v>ALL</x:v>
      </x:c>
      <x:c r="I12" s="23" t="str"/>
      <x:c r="J12" s="23" t="str">
        <x:v>Mon PM</x:v>
      </x:c>
      <x:c r="K12" s="131" t="str"/>
      <x:c r="L12" s="143" t="str"/>
      <x:c r="M12" s="143" t="str"/>
      <x:c r="N12" s="143" t="str"/>
      <x:c r="O12" s="173" t="str"/>
      <x:c r="P12" s="159" t="str">
        <x:f>IF(COUNTIF('Routine &amp; Settings'!$I$5:$I$30,A12)&gt;0,"No",IF(E12="BECM 3204",IF(J12='Routine &amp; Settings'!$B$5,"Yes","No"),IF(E12="BECM 3208",IF(J12='Routine &amp; Settings'!$B$6,"Yes","No"),IF(E12="CE 3224",IF(J12='Routine &amp; Settings'!$B$7,"Yes","No"),IF(E12="BECM 3200",IF('Routine &amp; Settings'!$B$8="Odd Weeks",IF(MOD(C12,2)=1,"Yes","No"),IF(MOD(C12,2)=0,"Yes","No")),"Yes")))))</x:f>
        <x:v>Yes</x:v>
      </x:c>
    </x:row>
    <x:row r="13">
      <x:c r="A13" s="123" t="n">
        <x:v>46273</x:v>
      </x:c>
      <x:c r="B13" s="23" t="str">
        <x:v>Tue</x:v>
      </x:c>
      <x:c r="C13" s="23" t="n">
        <x:v>1</x:v>
      </x:c>
      <x:c r="D13" s="23" t="str">
        <x:v>Regular</x:v>
      </x:c>
      <x:c r="E13" s="23" t="str">
        <x:v>CE 3224</x:v>
      </x:c>
      <x:c r="F13" s="173" t="str">
        <x:v>Sessional on Soil Mechanics</x:v>
      </x:c>
      <x:c r="G13" s="23" t="str">
        <x:v>08:00 AM–10:30 AM</x:v>
      </x:c>
      <x:c r="H13" s="23" t="str">
        <x:v>MHI/MRA</x:v>
      </x:c>
      <x:c r="I13" s="23" t="str"/>
      <x:c r="J13" s="23" t="str">
        <x:v>Tue AM</x:v>
      </x:c>
      <x:c r="K13" s="131" t="str"/>
      <x:c r="L13" s="143" t="str"/>
      <x:c r="M13" s="143" t="str"/>
      <x:c r="N13" s="143" t="str"/>
      <x:c r="O13" s="173" t="str"/>
      <x:c r="P13" s="159" t="str">
        <x:f>IF(COUNTIF('Routine &amp; Settings'!$I$5:$I$30,A13)&gt;0,"No",IF(E13="BECM 3204",IF(J13='Routine &amp; Settings'!$B$5,"Yes","No"),IF(E13="BECM 3208",IF(J13='Routine &amp; Settings'!$B$6,"Yes","No"),IF(E13="CE 3224",IF(J13='Routine &amp; Settings'!$B$7,"Yes","No"),IF(E13="BECM 3200",IF('Routine &amp; Settings'!$B$8="Odd Weeks",IF(MOD(C13,2)=1,"Yes","No"),IF(MOD(C13,2)=0,"Yes","No")),"Yes")))))</x:f>
        <x:v>Yes</x:v>
      </x:c>
    </x:row>
    <x:row r="14">
      <x:c r="A14" s="123" t="n">
        <x:v>46273</x:v>
      </x:c>
      <x:c r="B14" s="23" t="str">
        <x:v>Tue</x:v>
      </x:c>
      <x:c r="C14" s="23" t="n">
        <x:v>1</x:v>
      </x:c>
      <x:c r="D14" s="23" t="str">
        <x:v>Regular</x:v>
      </x:c>
      <x:c r="E14" s="23" t="str">
        <x:v>CE 3213</x:v>
      </x:c>
      <x:c r="F14" s="173" t="str">
        <x:v>Reinforced Concrete Structures - II</x:v>
      </x:c>
      <x:c r="G14" s="23" t="str">
        <x:v>11:30 AM–12:20 PM</x:v>
      </x:c>
      <x:c r="H14" s="23" t="str">
        <x:v>MKI</x:v>
      </x:c>
      <x:c r="I14" s="23" t="str">
        <x:v>405</x:v>
      </x:c>
      <x:c r="J14" s="23" t="str">
        <x:v>TUES P5</x:v>
      </x:c>
      <x:c r="K14" s="131" t="str"/>
      <x:c r="L14" s="143" t="str"/>
      <x:c r="M14" s="143" t="str"/>
      <x:c r="N14" s="143" t="str"/>
      <x:c r="O14" s="173" t="str"/>
      <x:c r="P14" s="159" t="str">
        <x:f>IF(COUNTIF('Routine &amp; Settings'!$I$5:$I$30,A14)&gt;0,"No",IF(E14="BECM 3204",IF(J14='Routine &amp; Settings'!$B$5,"Yes","No"),IF(E14="BECM 3208",IF(J14='Routine &amp; Settings'!$B$6,"Yes","No"),IF(E14="CE 3224",IF(J14='Routine &amp; Settings'!$B$7,"Yes","No"),IF(E14="BECM 3200",IF('Routine &amp; Settings'!$B$8="Odd Weeks",IF(MOD(C14,2)=1,"Yes","No"),IF(MOD(C14,2)=0,"Yes","No")),"Yes")))))</x:f>
        <x:v>Yes</x:v>
      </x:c>
    </x:row>
    <x:row r="15">
      <x:c r="A15" s="123" t="n">
        <x:v>46273</x:v>
      </x:c>
      <x:c r="B15" s="23" t="str">
        <x:v>Tue</x:v>
      </x:c>
      <x:c r="C15" s="23" t="n">
        <x:v>1</x:v>
      </x:c>
      <x:c r="D15" s="23" t="str">
        <x:v>Regular</x:v>
      </x:c>
      <x:c r="E15" s="23" t="str">
        <x:v>BECM 3201</x:v>
      </x:c>
      <x:c r="F15" s="173" t="str">
        <x:v>Construction and Project Management - II</x:v>
      </x:c>
      <x:c r="G15" s="23" t="str">
        <x:v>12:20 PM–01:10 PM</x:v>
      </x:c>
      <x:c r="H15" s="23" t="str">
        <x:v>MRA</x:v>
      </x:c>
      <x:c r="I15" s="23" t="str">
        <x:v>405</x:v>
      </x:c>
      <x:c r="J15" s="23" t="str">
        <x:v>TUES P6</x:v>
      </x:c>
      <x:c r="K15" s="131" t="str"/>
      <x:c r="L15" s="143" t="str"/>
      <x:c r="M15" s="143" t="str"/>
      <x:c r="N15" s="143" t="str"/>
      <x:c r="O15" s="173" t="str"/>
      <x:c r="P15" s="159" t="str">
        <x:f>IF(COUNTIF('Routine &amp; Settings'!$I$5:$I$30,A15)&gt;0,"No",IF(E15="BECM 3204",IF(J15='Routine &amp; Settings'!$B$5,"Yes","No"),IF(E15="BECM 3208",IF(J15='Routine &amp; Settings'!$B$6,"Yes","No"),IF(E15="CE 3224",IF(J15='Routine &amp; Settings'!$B$7,"Yes","No"),IF(E15="BECM 3200",IF('Routine &amp; Settings'!$B$8="Odd Weeks",IF(MOD(C15,2)=1,"Yes","No"),IF(MOD(C15,2)=0,"Yes","No")),"Yes")))))</x:f>
        <x:v>Yes</x:v>
      </x:c>
    </x:row>
    <x:row r="16">
      <x:c r="A16" s="123" t="n">
        <x:v>46273</x:v>
      </x:c>
      <x:c r="B16" s="23" t="str">
        <x:v>Tue</x:v>
      </x:c>
      <x:c r="C16" s="23" t="n">
        <x:v>1</x:v>
      </x:c>
      <x:c r="D16" s="23" t="str">
        <x:v>Regular</x:v>
      </x:c>
      <x:c r="E16" s="23" t="str">
        <x:v>BECM 3208</x:v>
      </x:c>
      <x:c r="F16" s="173" t="str">
        <x:v>Landscape Design</x:v>
      </x:c>
      <x:c r="G16" s="23" t="str">
        <x:v>02:30 PM–05:00 PM</x:v>
      </x:c>
      <x:c r="H16" s="23" t="str">
        <x:v>MSH/MSA</x:v>
      </x:c>
      <x:c r="I16" s="23" t="str"/>
      <x:c r="J16" s="23" t="str">
        <x:v>Tue PM</x:v>
      </x:c>
      <x:c r="K16" s="131" t="str"/>
      <x:c r="L16" s="143" t="str"/>
      <x:c r="M16" s="143" t="str"/>
      <x:c r="N16" s="143" t="str"/>
      <x:c r="O16" s="173" t="str"/>
      <x:c r="P16" s="159" t="str">
        <x:f>IF(COUNTIF('Routine &amp; Settings'!$I$5:$I$30,A16)&gt;0,"No",IF(E16="BECM 3204",IF(J16='Routine &amp; Settings'!$B$5,"Yes","No"),IF(E16="BECM 3208",IF(J16='Routine &amp; Settings'!$B$6,"Yes","No"),IF(E16="CE 3224",IF(J16='Routine &amp; Settings'!$B$7,"Yes","No"),IF(E16="BECM 3200",IF('Routine &amp; Settings'!$B$8="Odd Weeks",IF(MOD(C16,2)=1,"Yes","No"),IF(MOD(C16,2)=0,"Yes","No")),"Yes")))))</x:f>
        <x:v>Yes</x:v>
      </x:c>
    </x:row>
    <x:row r="17">
      <x:c r="A17" s="123" t="n">
        <x:v>46274</x:v>
      </x:c>
      <x:c r="B17" s="23" t="str">
        <x:v>Wed</x:v>
      </x:c>
      <x:c r="C17" s="23" t="n">
        <x:v>1</x:v>
      </x:c>
      <x:c r="D17" s="23" t="str">
        <x:v>Regular</x:v>
      </x:c>
      <x:c r="E17" s="23" t="str">
        <x:v>CE 3213</x:v>
      </x:c>
      <x:c r="F17" s="173" t="str">
        <x:v>Reinforced Concrete Structures - II</x:v>
      </x:c>
      <x:c r="G17" s="23" t="str">
        <x:v>09:40 AM–10:30 AM</x:v>
      </x:c>
      <x:c r="H17" s="23" t="str">
        <x:v>HRS/MKI</x:v>
      </x:c>
      <x:c r="I17" s="23" t="str">
        <x:v>501</x:v>
      </x:c>
      <x:c r="J17" s="23" t="str">
        <x:v>WED P3</x:v>
      </x:c>
      <x:c r="K17" s="131" t="str"/>
      <x:c r="L17" s="143" t="str"/>
      <x:c r="M17" s="143" t="str"/>
      <x:c r="N17" s="143" t="str"/>
      <x:c r="O17" s="173" t="str"/>
      <x:c r="P17" s="159" t="str">
        <x:f>IF(COUNTIF('Routine &amp; Settings'!$I$5:$I$30,A17)&gt;0,"No",IF(E17="BECM 3204",IF(J17='Routine &amp; Settings'!$B$5,"Yes","No"),IF(E17="BECM 3208",IF(J17='Routine &amp; Settings'!$B$6,"Yes","No"),IF(E17="CE 3224",IF(J17='Routine &amp; Settings'!$B$7,"Yes","No"),IF(E17="BECM 3200",IF('Routine &amp; Settings'!$B$8="Odd Weeks",IF(MOD(C17,2)=1,"Yes","No"),IF(MOD(C17,2)=0,"Yes","No")),"Yes")))))</x:f>
        <x:v>Yes</x:v>
      </x:c>
    </x:row>
    <x:row r="18">
      <x:c r="A18" s="123" t="n">
        <x:v>46274</x:v>
      </x:c>
      <x:c r="B18" s="23" t="str">
        <x:v>Wed</x:v>
      </x:c>
      <x:c r="C18" s="23" t="n">
        <x:v>1</x:v>
      </x:c>
      <x:c r="D18" s="23" t="str">
        <x:v>Regular</x:v>
      </x:c>
      <x:c r="E18" s="23" t="str">
        <x:v>CE 3211</x:v>
      </x:c>
      <x:c r="F18" s="173" t="str">
        <x:v>Structural Analysis and Design - II</x:v>
      </x:c>
      <x:c r="G18" s="23" t="str">
        <x:v>10:40 AM–11:30 AM</x:v>
      </x:c>
      <x:c r="H18" s="23" t="str">
        <x:v>ATB</x:v>
      </x:c>
      <x:c r="I18" s="23" t="str">
        <x:v>501</x:v>
      </x:c>
      <x:c r="J18" s="23" t="str">
        <x:v>WED P4</x:v>
      </x:c>
      <x:c r="K18" s="131" t="str"/>
      <x:c r="L18" s="143" t="str"/>
      <x:c r="M18" s="143" t="str"/>
      <x:c r="N18" s="143" t="str"/>
      <x:c r="O18" s="173" t="str"/>
      <x:c r="P18" s="159" t="str">
        <x:f>IF(COUNTIF('Routine &amp; Settings'!$I$5:$I$30,A18)&gt;0,"No",IF(E18="BECM 3204",IF(J18='Routine &amp; Settings'!$B$5,"Yes","No"),IF(E18="BECM 3208",IF(J18='Routine &amp; Settings'!$B$6,"Yes","No"),IF(E18="CE 3224",IF(J18='Routine &amp; Settings'!$B$7,"Yes","No"),IF(E18="BECM 3200",IF('Routine &amp; Settings'!$B$8="Odd Weeks",IF(MOD(C18,2)=1,"Yes","No"),IF(MOD(C18,2)=0,"Yes","No")),"Yes")))))</x:f>
        <x:v>Yes</x:v>
      </x:c>
    </x:row>
    <x:row r="19">
      <x:c r="A19" s="123" t="n">
        <x:v>46274</x:v>
      </x:c>
      <x:c r="B19" s="23" t="str">
        <x:v>Wed</x:v>
      </x:c>
      <x:c r="C19" s="23" t="n">
        <x:v>1</x:v>
      </x:c>
      <x:c r="D19" s="23" t="str">
        <x:v>Regular</x:v>
      </x:c>
      <x:c r="E19" s="23" t="str">
        <x:v>CE 3223</x:v>
      </x:c>
      <x:c r="F19" s="173" t="str">
        <x:v>Soil Mechanics</x:v>
      </x:c>
      <x:c r="G19" s="23" t="str">
        <x:v>11:30 AM–12:20 PM</x:v>
      </x:c>
      <x:c r="H19" s="23" t="str">
        <x:v>MHI</x:v>
      </x:c>
      <x:c r="I19" s="23" t="str">
        <x:v>501</x:v>
      </x:c>
      <x:c r="J19" s="23" t="str">
        <x:v>WED P5</x:v>
      </x:c>
      <x:c r="K19" s="131" t="str"/>
      <x:c r="L19" s="143" t="str"/>
      <x:c r="M19" s="143" t="str"/>
      <x:c r="N19" s="143" t="str"/>
      <x:c r="O19" s="173" t="str"/>
      <x:c r="P19" s="159" t="str">
        <x:f>IF(COUNTIF('Routine &amp; Settings'!$I$5:$I$30,A19)&gt;0,"No",IF(E19="BECM 3204",IF(J19='Routine &amp; Settings'!$B$5,"Yes","No"),IF(E19="BECM 3208",IF(J19='Routine &amp; Settings'!$B$6,"Yes","No"),IF(E19="CE 3224",IF(J19='Routine &amp; Settings'!$B$7,"Yes","No"),IF(E19="BECM 3200",IF('Routine &amp; Settings'!$B$8="Odd Weeks",IF(MOD(C19,2)=1,"Yes","No"),IF(MOD(C19,2)=0,"Yes","No")),"Yes")))))</x:f>
        <x:v>Yes</x:v>
      </x:c>
    </x:row>
    <x:row r="20">
      <x:c r="A20" s="123" t="n">
        <x:v>46274</x:v>
      </x:c>
      <x:c r="B20" s="23" t="str">
        <x:v>Wed</x:v>
      </x:c>
      <x:c r="C20" s="23" t="n">
        <x:v>1</x:v>
      </x:c>
      <x:c r="D20" s="23" t="str">
        <x:v>Regular</x:v>
      </x:c>
      <x:c r="E20" s="23" t="str">
        <x:v>BECM 3205</x:v>
      </x:c>
      <x:c r="F20" s="173" t="str">
        <x:v>Acoustics and Lighting</x:v>
      </x:c>
      <x:c r="G20" s="23" t="str">
        <x:v>12:20 PM–01:10 PM</x:v>
      </x:c>
      <x:c r="H20" s="23" t="str">
        <x:v>MSH/AAM</x:v>
      </x:c>
      <x:c r="I20" s="23" t="str">
        <x:v>501</x:v>
      </x:c>
      <x:c r="J20" s="23" t="str">
        <x:v>WED P6</x:v>
      </x:c>
      <x:c r="K20" s="131" t="str"/>
      <x:c r="L20" s="143" t="str"/>
      <x:c r="M20" s="143" t="str"/>
      <x:c r="N20" s="143" t="str"/>
      <x:c r="O20" s="173" t="str"/>
      <x:c r="P20" s="159" t="str">
        <x:f>IF(COUNTIF('Routine &amp; Settings'!$I$5:$I$30,A20)&gt;0,"No",IF(E20="BECM 3204",IF(J20='Routine &amp; Settings'!$B$5,"Yes","No"),IF(E20="BECM 3208",IF(J20='Routine &amp; Settings'!$B$6,"Yes","No"),IF(E20="CE 3224",IF(J20='Routine &amp; Settings'!$B$7,"Yes","No"),IF(E20="BECM 3200",IF('Routine &amp; Settings'!$B$8="Odd Weeks",IF(MOD(C20,2)=1,"Yes","No"),IF(MOD(C20,2)=0,"Yes","No")),"Yes")))))</x:f>
        <x:v>Yes</x:v>
      </x:c>
    </x:row>
    <x:row r="21">
      <x:c r="A21" s="123" t="n">
        <x:v>46274</x:v>
      </x:c>
      <x:c r="B21" s="23" t="str">
        <x:v>Wed</x:v>
      </x:c>
      <x:c r="C21" s="23" t="n">
        <x:v>1</x:v>
      </x:c>
      <x:c r="D21" s="23" t="str">
        <x:v>Regular</x:v>
      </x:c>
      <x:c r="E21" s="23" t="str">
        <x:v>BECM 3208</x:v>
      </x:c>
      <x:c r="F21" s="173" t="str">
        <x:v>Landscape Design</x:v>
      </x:c>
      <x:c r="G21" s="23" t="str">
        <x:v>02:30 PM–05:00 PM</x:v>
      </x:c>
      <x:c r="H21" s="23" t="str">
        <x:v>MSH/MSA</x:v>
      </x:c>
      <x:c r="I21" s="23" t="str">
        <x:v>501</x:v>
      </x:c>
      <x:c r="J21" s="23" t="str">
        <x:v>Wed PM</x:v>
      </x:c>
      <x:c r="K21" s="131" t="str"/>
      <x:c r="L21" s="143" t="str"/>
      <x:c r="M21" s="143" t="str"/>
      <x:c r="N21" s="143" t="str"/>
      <x:c r="O21" s="173" t="str"/>
      <x:c r="P21" s="159" t="str">
        <x:f>IF(COUNTIF('Routine &amp; Settings'!$I$5:$I$30,A21)&gt;0,"No",IF(E21="BECM 3204",IF(J21='Routine &amp; Settings'!$B$5,"Yes","No"),IF(E21="BECM 3208",IF(J21='Routine &amp; Settings'!$B$6,"Yes","No"),IF(E21="CE 3224",IF(J21='Routine &amp; Settings'!$B$7,"Yes","No"),IF(E21="BECM 3200",IF('Routine &amp; Settings'!$B$8="Odd Weeks",IF(MOD(C21,2)=1,"Yes","No"),IF(MOD(C21,2)=0,"Yes","No")),"Yes")))))</x:f>
        <x:v>No</x:v>
      </x:c>
    </x:row>
    <x:row r="22">
      <x:c r="A22" s="123" t="n">
        <x:v>46275</x:v>
      </x:c>
      <x:c r="B22" s="23" t="str">
        <x:v>Thu</x:v>
      </x:c>
      <x:c r="C22" s="23" t="n">
        <x:v>1</x:v>
      </x:c>
      <x:c r="D22" s="23" t="str">
        <x:v>Regular</x:v>
      </x:c>
      <x:c r="E22" s="23" t="str">
        <x:v>BECM 3204</x:v>
      </x:c>
      <x:c r="F22" s="173" t="str">
        <x:v>Construction Techniques and Equipments - II</x:v>
      </x:c>
      <x:c r="G22" s="23" t="str">
        <x:v>08:00 AM–10:30 AM</x:v>
      </x:c>
      <x:c r="H22" s="23" t="str">
        <x:v>HRS/MR</x:v>
      </x:c>
      <x:c r="I22" s="23" t="str"/>
      <x:c r="J22" s="23" t="str">
        <x:v>Thu AM</x:v>
      </x:c>
      <x:c r="K22" s="131" t="str"/>
      <x:c r="L22" s="143" t="str"/>
      <x:c r="M22" s="143" t="str"/>
      <x:c r="N22" s="143" t="str"/>
      <x:c r="O22" s="173" t="str"/>
      <x:c r="P22" s="159" t="str">
        <x:f>IF(COUNTIF('Routine &amp; Settings'!$I$5:$I$30,A22)&gt;0,"No",IF(E22="BECM 3204",IF(J22='Routine &amp; Settings'!$B$5,"Yes","No"),IF(E22="BECM 3208",IF(J22='Routine &amp; Settings'!$B$6,"Yes","No"),IF(E22="CE 3224",IF(J22='Routine &amp; Settings'!$B$7,"Yes","No"),IF(E22="BECM 3200",IF('Routine &amp; Settings'!$B$8="Odd Weeks",IF(MOD(C22,2)=1,"Yes","No"),IF(MOD(C22,2)=0,"Yes","No")),"Yes")))))</x:f>
        <x:v>No</x:v>
      </x:c>
    </x:row>
    <x:row r="23">
      <x:c r="A23" s="123" t="n">
        <x:v>46275</x:v>
      </x:c>
      <x:c r="B23" s="23" t="str">
        <x:v>Thu</x:v>
      </x:c>
      <x:c r="C23" s="23" t="n">
        <x:v>1</x:v>
      </x:c>
      <x:c r="D23" s="23" t="str">
        <x:v>Regular</x:v>
      </x:c>
      <x:c r="E23" s="23" t="str">
        <x:v>BECM 3205</x:v>
      </x:c>
      <x:c r="F23" s="173" t="str">
        <x:v>Acoustics and Lighting</x:v>
      </x:c>
      <x:c r="G23" s="23" t="str">
        <x:v>10:40 AM–11:30 AM</x:v>
      </x:c>
      <x:c r="H23" s="23" t="str">
        <x:v>MSH</x:v>
      </x:c>
      <x:c r="I23" s="23" t="str">
        <x:v>406</x:v>
      </x:c>
      <x:c r="J23" s="23" t="str">
        <x:v>THURS P4</x:v>
      </x:c>
      <x:c r="K23" s="131" t="str"/>
      <x:c r="L23" s="143" t="str"/>
      <x:c r="M23" s="143" t="str"/>
      <x:c r="N23" s="143" t="str"/>
      <x:c r="O23" s="173" t="str"/>
      <x:c r="P23" s="159" t="str">
        <x:f>IF(COUNTIF('Routine &amp; Settings'!$I$5:$I$30,A23)&gt;0,"No",IF(E23="BECM 3204",IF(J23='Routine &amp; Settings'!$B$5,"Yes","No"),IF(E23="BECM 3208",IF(J23='Routine &amp; Settings'!$B$6,"Yes","No"),IF(E23="CE 3224",IF(J23='Routine &amp; Settings'!$B$7,"Yes","No"),IF(E23="BECM 3200",IF('Routine &amp; Settings'!$B$8="Odd Weeks",IF(MOD(C23,2)=1,"Yes","No"),IF(MOD(C23,2)=0,"Yes","No")),"Yes")))))</x:f>
        <x:v>Yes</x:v>
      </x:c>
    </x:row>
    <x:row r="24">
      <x:c r="A24" s="123" t="n">
        <x:v>46275</x:v>
      </x:c>
      <x:c r="B24" s="23" t="str">
        <x:v>Thu</x:v>
      </x:c>
      <x:c r="C24" s="23" t="n">
        <x:v>1</x:v>
      </x:c>
      <x:c r="D24" s="23" t="str">
        <x:v>Regular</x:v>
      </x:c>
      <x:c r="E24" s="23" t="str">
        <x:v>CE 3211</x:v>
      </x:c>
      <x:c r="F24" s="173" t="str">
        <x:v>Structural Analysis and Design - II</x:v>
      </x:c>
      <x:c r="G24" s="23" t="str">
        <x:v>11:30 AM–12:20 PM</x:v>
      </x:c>
      <x:c r="H24" s="23" t="str">
        <x:v>MKI/ATB</x:v>
      </x:c>
      <x:c r="I24" s="23" t="str">
        <x:v>406</x:v>
      </x:c>
      <x:c r="J24" s="23" t="str">
        <x:v>THURS P5</x:v>
      </x:c>
      <x:c r="K24" s="131" t="str"/>
      <x:c r="L24" s="143" t="str"/>
      <x:c r="M24" s="143" t="str"/>
      <x:c r="N24" s="143" t="str"/>
      <x:c r="O24" s="173" t="str"/>
      <x:c r="P24" s="159" t="str">
        <x:f>IF(COUNTIF('Routine &amp; Settings'!$I$5:$I$30,A24)&gt;0,"No",IF(E24="BECM 3204",IF(J24='Routine &amp; Settings'!$B$5,"Yes","No"),IF(E24="BECM 3208",IF(J24='Routine &amp; Settings'!$B$6,"Yes","No"),IF(E24="CE 3224",IF(J24='Routine &amp; Settings'!$B$7,"Yes","No"),IF(E24="BECM 3200",IF('Routine &amp; Settings'!$B$8="Odd Weeks",IF(MOD(C24,2)=1,"Yes","No"),IF(MOD(C24,2)=0,"Yes","No")),"Yes")))))</x:f>
        <x:v>Yes</x:v>
      </x:c>
    </x:row>
    <x:row r="25">
      <x:c r="A25" s="123" t="n">
        <x:v>46275</x:v>
      </x:c>
      <x:c r="B25" s="23" t="str">
        <x:v>Thu</x:v>
      </x:c>
      <x:c r="C25" s="23" t="n">
        <x:v>1</x:v>
      </x:c>
      <x:c r="D25" s="23" t="str">
        <x:v>Regular</x:v>
      </x:c>
      <x:c r="E25" s="23" t="str">
        <x:v>BECM 3201</x:v>
      </x:c>
      <x:c r="F25" s="173" t="str">
        <x:v>Construction and Project Management - II</x:v>
      </x:c>
      <x:c r="G25" s="23" t="str">
        <x:v>12:20 PM–01:10 PM</x:v>
      </x:c>
      <x:c r="H25" s="23" t="str">
        <x:v>MR/MRA</x:v>
      </x:c>
      <x:c r="I25" s="23" t="str">
        <x:v>406</x:v>
      </x:c>
      <x:c r="J25" s="23" t="str">
        <x:v>THURS P6</x:v>
      </x:c>
      <x:c r="K25" s="131" t="str"/>
      <x:c r="L25" s="143" t="str"/>
      <x:c r="M25" s="143" t="str"/>
      <x:c r="N25" s="143" t="str"/>
      <x:c r="O25" s="173" t="str"/>
      <x:c r="P25" s="159" t="str">
        <x:f>IF(COUNTIF('Routine &amp; Settings'!$I$5:$I$30,A25)&gt;0,"No",IF(E25="BECM 3204",IF(J25='Routine &amp; Settings'!$B$5,"Yes","No"),IF(E25="BECM 3208",IF(J25='Routine &amp; Settings'!$B$6,"Yes","No"),IF(E25="CE 3224",IF(J25='Routine &amp; Settings'!$B$7,"Yes","No"),IF(E25="BECM 3200",IF('Routine &amp; Settings'!$B$8="Odd Weeks",IF(MOD(C25,2)=1,"Yes","No"),IF(MOD(C25,2)=0,"Yes","No")),"Yes")))))</x:f>
        <x:v>Yes</x:v>
      </x:c>
    </x:row>
    <x:row r="26">
      <x:c r="A26" s="123" t="n">
        <x:v>46275</x:v>
      </x:c>
      <x:c r="B26" s="23" t="str">
        <x:v>Thu</x:v>
      </x:c>
      <x:c r="C26" s="23" t="n">
        <x:v>1</x:v>
      </x:c>
      <x:c r="D26" s="23" t="str">
        <x:v>Regular</x:v>
      </x:c>
      <x:c r="E26" s="23" t="str">
        <x:v>CE 3224</x:v>
      </x:c>
      <x:c r="F26" s="173" t="str">
        <x:v>Sessional on Soil Mechanics</x:v>
      </x:c>
      <x:c r="G26" s="23" t="str">
        <x:v>02:30 PM–05:00 PM</x:v>
      </x:c>
      <x:c r="H26" s="23" t="str">
        <x:v>MHI/MRA</x:v>
      </x:c>
      <x:c r="I26" s="23" t="str">
        <x:v>405</x:v>
      </x:c>
      <x:c r="J26" s="23" t="str">
        <x:v>Thu PM</x:v>
      </x:c>
      <x:c r="K26" s="131" t="str"/>
      <x:c r="L26" s="143" t="str"/>
      <x:c r="M26" s="143" t="str"/>
      <x:c r="N26" s="143" t="str"/>
      <x:c r="O26" s="173" t="str"/>
      <x:c r="P26" s="159" t="str">
        <x:f>IF(COUNTIF('Routine &amp; Settings'!$I$5:$I$30,A26)&gt;0,"No",IF(E26="BECM 3204",IF(J26='Routine &amp; Settings'!$B$5,"Yes","No"),IF(E26="BECM 3208",IF(J26='Routine &amp; Settings'!$B$6,"Yes","No"),IF(E26="CE 3224",IF(J26='Routine &amp; Settings'!$B$7,"Yes","No"),IF(E26="BECM 3200",IF('Routine &amp; Settings'!$B$8="Odd Weeks",IF(MOD(C26,2)=1,"Yes","No"),IF(MOD(C26,2)=0,"Yes","No")),"Yes")))))</x:f>
        <x:v>No</x:v>
      </x:c>
    </x:row>
    <x:row r="27">
      <x:c r="A27" s="123" t="n">
        <x:v>46278</x:v>
      </x:c>
      <x:c r="B27" s="23" t="str">
        <x:v>Sun</x:v>
      </x:c>
      <x:c r="C27" s="23" t="n">
        <x:v>2</x:v>
      </x:c>
      <x:c r="D27" s="23" t="str">
        <x:v>Regular</x:v>
      </x:c>
      <x:c r="E27" s="23" t="str">
        <x:v>CE 3213</x:v>
      </x:c>
      <x:c r="F27" s="173" t="str">
        <x:v>Reinforced Concrete Structures - II</x:v>
      </x:c>
      <x:c r="G27" s="23" t="str">
        <x:v>10:40 AM–11:30 AM</x:v>
      </x:c>
      <x:c r="H27" s="23" t="str">
        <x:v>HRS</x:v>
      </x:c>
      <x:c r="I27" s="23" t="str">
        <x:v>501</x:v>
      </x:c>
      <x:c r="J27" s="23" t="str">
        <x:v>SUN P4</x:v>
      </x:c>
      <x:c r="K27" s="131" t="str"/>
      <x:c r="L27" s="143" t="str"/>
      <x:c r="M27" s="143" t="str"/>
      <x:c r="N27" s="143" t="str"/>
      <x:c r="O27" s="173" t="str"/>
      <x:c r="P27" s="159" t="str">
        <x:f>IF(COUNTIF('Routine &amp; Settings'!$I$5:$I$30,A27)&gt;0,"No",IF(E27="BECM 3204",IF(J27='Routine &amp; Settings'!$B$5,"Yes","No"),IF(E27="BECM 3208",IF(J27='Routine &amp; Settings'!$B$6,"Yes","No"),IF(E27="CE 3224",IF(J27='Routine &amp; Settings'!$B$7,"Yes","No"),IF(E27="BECM 3200",IF('Routine &amp; Settings'!$B$8="Odd Weeks",IF(MOD(C27,2)=1,"Yes","No"),IF(MOD(C27,2)=0,"Yes","No")),"Yes")))))</x:f>
        <x:v>Yes</x:v>
      </x:c>
    </x:row>
    <x:row r="28">
      <x:c r="A28" s="123" t="n">
        <x:v>46278</x:v>
      </x:c>
      <x:c r="B28" s="23" t="str">
        <x:v>Sun</x:v>
      </x:c>
      <x:c r="C28" s="23" t="n">
        <x:v>2</x:v>
      </x:c>
      <x:c r="D28" s="23" t="str">
        <x:v>Regular</x:v>
      </x:c>
      <x:c r="E28" s="23" t="str">
        <x:v>CE 3223</x:v>
      </x:c>
      <x:c r="F28" s="173" t="str">
        <x:v>Soil Mechanics</x:v>
      </x:c>
      <x:c r="G28" s="23" t="str">
        <x:v>11:30 AM–12:20 PM</x:v>
      </x:c>
      <x:c r="H28" s="23" t="str">
        <x:v>MSA</x:v>
      </x:c>
      <x:c r="I28" s="23" t="str">
        <x:v>501</x:v>
      </x:c>
      <x:c r="J28" s="23" t="str">
        <x:v>SUN P5</x:v>
      </x:c>
      <x:c r="K28" s="131" t="str"/>
      <x:c r="L28" s="143" t="str"/>
      <x:c r="M28" s="143" t="str"/>
      <x:c r="N28" s="143" t="str"/>
      <x:c r="O28" s="173" t="str"/>
      <x:c r="P28" s="159" t="str">
        <x:f>IF(COUNTIF('Routine &amp; Settings'!$I$5:$I$30,A28)&gt;0,"No",IF(E28="BECM 3204",IF(J28='Routine &amp; Settings'!$B$5,"Yes","No"),IF(E28="BECM 3208",IF(J28='Routine &amp; Settings'!$B$6,"Yes","No"),IF(E28="CE 3224",IF(J28='Routine &amp; Settings'!$B$7,"Yes","No"),IF(E28="BECM 3200",IF('Routine &amp; Settings'!$B$8="Odd Weeks",IF(MOD(C28,2)=1,"Yes","No"),IF(MOD(C28,2)=0,"Yes","No")),"Yes")))))</x:f>
        <x:v>Yes</x:v>
      </x:c>
    </x:row>
    <x:row r="29">
      <x:c r="A29" s="123" t="n">
        <x:v>46278</x:v>
      </x:c>
      <x:c r="B29" s="23" t="str">
        <x:v>Sun</x:v>
      </x:c>
      <x:c r="C29" s="23" t="n">
        <x:v>2</x:v>
      </x:c>
      <x:c r="D29" s="23" t="str">
        <x:v>Regular</x:v>
      </x:c>
      <x:c r="E29" s="23" t="str">
        <x:v>CE 3211</x:v>
      </x:c>
      <x:c r="F29" s="173" t="str">
        <x:v>Structural Analysis and Design - II</x:v>
      </x:c>
      <x:c r="G29" s="23" t="str">
        <x:v>12:20 PM–01:10 PM</x:v>
      </x:c>
      <x:c r="H29" s="23" t="str">
        <x:v>MKI</x:v>
      </x:c>
      <x:c r="I29" s="23" t="str">
        <x:v>501</x:v>
      </x:c>
      <x:c r="J29" s="23" t="str">
        <x:v>SUN P6</x:v>
      </x:c>
      <x:c r="K29" s="131" t="str"/>
      <x:c r="L29" s="143" t="str"/>
      <x:c r="M29" s="143" t="str"/>
      <x:c r="N29" s="143" t="str"/>
      <x:c r="O29" s="173" t="str"/>
      <x:c r="P29" s="159" t="str">
        <x:f>IF(COUNTIF('Routine &amp; Settings'!$I$5:$I$30,A29)&gt;0,"No",IF(E29="BECM 3204",IF(J29='Routine &amp; Settings'!$B$5,"Yes","No"),IF(E29="BECM 3208",IF(J29='Routine &amp; Settings'!$B$6,"Yes","No"),IF(E29="CE 3224",IF(J29='Routine &amp; Settings'!$B$7,"Yes","No"),IF(E29="BECM 3200",IF('Routine &amp; Settings'!$B$8="Odd Weeks",IF(MOD(C29,2)=1,"Yes","No"),IF(MOD(C29,2)=0,"Yes","No")),"Yes")))))</x:f>
        <x:v>Yes</x:v>
      </x:c>
    </x:row>
    <x:row r="30">
      <x:c r="A30" s="123" t="n">
        <x:v>46278</x:v>
      </x:c>
      <x:c r="B30" s="23" t="str">
        <x:v>Sun</x:v>
      </x:c>
      <x:c r="C30" s="23" t="n">
        <x:v>2</x:v>
      </x:c>
      <x:c r="D30" s="23" t="str">
        <x:v>Regular</x:v>
      </x:c>
      <x:c r="E30" s="23" t="str">
        <x:v>BECM 3204</x:v>
      </x:c>
      <x:c r="F30" s="173" t="str">
        <x:v>Construction Techniques and Equipments - II</x:v>
      </x:c>
      <x:c r="G30" s="23" t="str">
        <x:v>02:30 PM–05:00 PM</x:v>
      </x:c>
      <x:c r="H30" s="23" t="str">
        <x:v>HRS/MR</x:v>
      </x:c>
      <x:c r="I30" s="23" t="str">
        <x:v>404</x:v>
      </x:c>
      <x:c r="J30" s="23" t="str">
        <x:v>Sun PM</x:v>
      </x:c>
      <x:c r="K30" s="131" t="str"/>
      <x:c r="L30" s="143" t="str"/>
      <x:c r="M30" s="143" t="str"/>
      <x:c r="N30" s="143" t="str"/>
      <x:c r="O30" s="173" t="str"/>
      <x:c r="P30" s="159" t="str">
        <x:f>IF(COUNTIF('Routine &amp; Settings'!$I$5:$I$30,A30)&gt;0,"No",IF(E30="BECM 3204",IF(J30='Routine &amp; Settings'!$B$5,"Yes","No"),IF(E30="BECM 3208",IF(J30='Routine &amp; Settings'!$B$6,"Yes","No"),IF(E30="CE 3224",IF(J30='Routine &amp; Settings'!$B$7,"Yes","No"),IF(E30="BECM 3200",IF('Routine &amp; Settings'!$B$8="Odd Weeks",IF(MOD(C30,2)=1,"Yes","No"),IF(MOD(C30,2)=0,"Yes","No")),"Yes")))))</x:f>
        <x:v>Yes</x:v>
      </x:c>
    </x:row>
    <x:row r="31">
      <x:c r="A31" s="123" t="n">
        <x:v>46279</x:v>
      </x:c>
      <x:c r="B31" s="23" t="str">
        <x:v>Mon</x:v>
      </x:c>
      <x:c r="C31" s="23" t="n">
        <x:v>2</x:v>
      </x:c>
      <x:c r="D31" s="23" t="str">
        <x:v>Regular</x:v>
      </x:c>
      <x:c r="E31" s="23" t="str">
        <x:v>CE 3223</x:v>
      </x:c>
      <x:c r="F31" s="173" t="str">
        <x:v>Soil Mechanics</x:v>
      </x:c>
      <x:c r="G31" s="23" t="str">
        <x:v>09:40 AM–10:30 AM</x:v>
      </x:c>
      <x:c r="H31" s="23" t="str">
        <x:v>MHI/MSA</x:v>
      </x:c>
      <x:c r="I31" s="23" t="str">
        <x:v>404</x:v>
      </x:c>
      <x:c r="J31" s="23" t="str">
        <x:v>MON P3</x:v>
      </x:c>
      <x:c r="K31" s="131" t="str"/>
      <x:c r="L31" s="143" t="str"/>
      <x:c r="M31" s="143" t="str"/>
      <x:c r="N31" s="143" t="str"/>
      <x:c r="O31" s="173" t="str"/>
      <x:c r="P31" s="159" t="str">
        <x:f>IF(COUNTIF('Routine &amp; Settings'!$I$5:$I$30,A31)&gt;0,"No",IF(E31="BECM 3204",IF(J31='Routine &amp; Settings'!$B$5,"Yes","No"),IF(E31="BECM 3208",IF(J31='Routine &amp; Settings'!$B$6,"Yes","No"),IF(E31="CE 3224",IF(J31='Routine &amp; Settings'!$B$7,"Yes","No"),IF(E31="BECM 3200",IF('Routine &amp; Settings'!$B$8="Odd Weeks",IF(MOD(C31,2)=1,"Yes","No"),IF(MOD(C31,2)=0,"Yes","No")),"Yes")))))</x:f>
        <x:v>Yes</x:v>
      </x:c>
    </x:row>
    <x:row r="32">
      <x:c r="A32" s="123" t="n">
        <x:v>46279</x:v>
      </x:c>
      <x:c r="B32" s="23" t="str">
        <x:v>Mon</x:v>
      </x:c>
      <x:c r="C32" s="23" t="n">
        <x:v>2</x:v>
      </x:c>
      <x:c r="D32" s="23" t="str">
        <x:v>Regular</x:v>
      </x:c>
      <x:c r="E32" s="23" t="str">
        <x:v>BECM 3201</x:v>
      </x:c>
      <x:c r="F32" s="173" t="str">
        <x:v>Construction and Project Management - II</x:v>
      </x:c>
      <x:c r="G32" s="23" t="str">
        <x:v>11:30 AM–12:20 PM</x:v>
      </x:c>
      <x:c r="H32" s="23" t="str">
        <x:v>MR</x:v>
      </x:c>
      <x:c r="I32" s="23" t="str">
        <x:v>405</x:v>
      </x:c>
      <x:c r="J32" s="23" t="str">
        <x:v>MON P5</x:v>
      </x:c>
      <x:c r="K32" s="131" t="str"/>
      <x:c r="L32" s="143" t="str"/>
      <x:c r="M32" s="143" t="str"/>
      <x:c r="N32" s="143" t="str"/>
      <x:c r="O32" s="173" t="str"/>
      <x:c r="P32" s="159" t="str">
        <x:f>IF(COUNTIF('Routine &amp; Settings'!$I$5:$I$30,A32)&gt;0,"No",IF(E32="BECM 3204",IF(J32='Routine &amp; Settings'!$B$5,"Yes","No"),IF(E32="BECM 3208",IF(J32='Routine &amp; Settings'!$B$6,"Yes","No"),IF(E32="CE 3224",IF(J32='Routine &amp; Settings'!$B$7,"Yes","No"),IF(E32="BECM 3200",IF('Routine &amp; Settings'!$B$8="Odd Weeks",IF(MOD(C32,2)=1,"Yes","No"),IF(MOD(C32,2)=0,"Yes","No")),"Yes")))))</x:f>
        <x:v>Yes</x:v>
      </x:c>
    </x:row>
    <x:row r="33">
      <x:c r="A33" s="123" t="n">
        <x:v>46279</x:v>
      </x:c>
      <x:c r="B33" s="23" t="str">
        <x:v>Mon</x:v>
      </x:c>
      <x:c r="C33" s="23" t="n">
        <x:v>2</x:v>
      </x:c>
      <x:c r="D33" s="23" t="str">
        <x:v>Regular</x:v>
      </x:c>
      <x:c r="E33" s="23" t="str">
        <x:v>BECM 3205</x:v>
      </x:c>
      <x:c r="F33" s="173" t="str">
        <x:v>Acoustics and Lighting</x:v>
      </x:c>
      <x:c r="G33" s="23" t="str">
        <x:v>12:20 PM–01:10 PM</x:v>
      </x:c>
      <x:c r="H33" s="23" t="str">
        <x:v>AAM</x:v>
      </x:c>
      <x:c r="I33" s="23" t="str">
        <x:v>405</x:v>
      </x:c>
      <x:c r="J33" s="23" t="str">
        <x:v>MON P6</x:v>
      </x:c>
      <x:c r="K33" s="131" t="str"/>
      <x:c r="L33" s="143" t="str"/>
      <x:c r="M33" s="143" t="str"/>
      <x:c r="N33" s="143" t="str"/>
      <x:c r="O33" s="173" t="str"/>
      <x:c r="P33" s="159" t="str">
        <x:f>IF(COUNTIF('Routine &amp; Settings'!$I$5:$I$30,A33)&gt;0,"No",IF(E33="BECM 3204",IF(J33='Routine &amp; Settings'!$B$5,"Yes","No"),IF(E33="BECM 3208",IF(J33='Routine &amp; Settings'!$B$6,"Yes","No"),IF(E33="CE 3224",IF(J33='Routine &amp; Settings'!$B$7,"Yes","No"),IF(E33="BECM 3200",IF('Routine &amp; Settings'!$B$8="Odd Weeks",IF(MOD(C33,2)=1,"Yes","No"),IF(MOD(C33,2)=0,"Yes","No")),"Yes")))))</x:f>
        <x:v>Yes</x:v>
      </x:c>
    </x:row>
    <x:row r="34">
      <x:c r="A34" s="123" t="n">
        <x:v>46279</x:v>
      </x:c>
      <x:c r="B34" s="23" t="str">
        <x:v>Mon</x:v>
      </x:c>
      <x:c r="C34" s="23" t="n">
        <x:v>2</x:v>
      </x:c>
      <x:c r="D34" s="23" t="str">
        <x:v>Regular</x:v>
      </x:c>
      <x:c r="E34" s="23" t="str">
        <x:v>BECM 3200</x:v>
      </x:c>
      <x:c r="F34" s="173" t="str">
        <x:v>Project and Seminar</x:v>
      </x:c>
      <x:c r="G34" s="23" t="str">
        <x:v>02:30 PM–05:00 PM</x:v>
      </x:c>
      <x:c r="H34" s="23" t="str">
        <x:v>ALL</x:v>
      </x:c>
      <x:c r="I34" s="23" t="str"/>
      <x:c r="J34" s="23" t="str">
        <x:v>Mon PM</x:v>
      </x:c>
      <x:c r="K34" s="131" t="str"/>
      <x:c r="L34" s="143" t="str"/>
      <x:c r="M34" s="143" t="str"/>
      <x:c r="N34" s="143" t="str"/>
      <x:c r="O34" s="173" t="str"/>
      <x:c r="P34" s="159" t="str">
        <x:f>IF(COUNTIF('Routine &amp; Settings'!$I$5:$I$30,A34)&gt;0,"No",IF(E34="BECM 3204",IF(J34='Routine &amp; Settings'!$B$5,"Yes","No"),IF(E34="BECM 3208",IF(J34='Routine &amp; Settings'!$B$6,"Yes","No"),IF(E34="CE 3224",IF(J34='Routine &amp; Settings'!$B$7,"Yes","No"),IF(E34="BECM 3200",IF('Routine &amp; Settings'!$B$8="Odd Weeks",IF(MOD(C34,2)=1,"Yes","No"),IF(MOD(C34,2)=0,"Yes","No")),"Yes")))))</x:f>
        <x:v>No</x:v>
      </x:c>
    </x:row>
    <x:row r="35">
      <x:c r="A35" s="123" t="n">
        <x:v>46280</x:v>
      </x:c>
      <x:c r="B35" s="23" t="str">
        <x:v>Tue</x:v>
      </x:c>
      <x:c r="C35" s="23" t="n">
        <x:v>2</x:v>
      </x:c>
      <x:c r="D35" s="23" t="str">
        <x:v>Regular</x:v>
      </x:c>
      <x:c r="E35" s="23" t="str">
        <x:v>CE 3224</x:v>
      </x:c>
      <x:c r="F35" s="173" t="str">
        <x:v>Sessional on Soil Mechanics</x:v>
      </x:c>
      <x:c r="G35" s="23" t="str">
        <x:v>08:00 AM–10:30 AM</x:v>
      </x:c>
      <x:c r="H35" s="23" t="str">
        <x:v>MHI/MRA</x:v>
      </x:c>
      <x:c r="I35" s="23" t="str"/>
      <x:c r="J35" s="23" t="str">
        <x:v>Tue AM</x:v>
      </x:c>
      <x:c r="K35" s="131" t="str"/>
      <x:c r="L35" s="143" t="str"/>
      <x:c r="M35" s="143" t="str"/>
      <x:c r="N35" s="143" t="str"/>
      <x:c r="O35" s="173" t="str"/>
      <x:c r="P35" s="159" t="str">
        <x:f>IF(COUNTIF('Routine &amp; Settings'!$I$5:$I$30,A35)&gt;0,"No",IF(E35="BECM 3204",IF(J35='Routine &amp; Settings'!$B$5,"Yes","No"),IF(E35="BECM 3208",IF(J35='Routine &amp; Settings'!$B$6,"Yes","No"),IF(E35="CE 3224",IF(J35='Routine &amp; Settings'!$B$7,"Yes","No"),IF(E35="BECM 3200",IF('Routine &amp; Settings'!$B$8="Odd Weeks",IF(MOD(C35,2)=1,"Yes","No"),IF(MOD(C35,2)=0,"Yes","No")),"Yes")))))</x:f>
        <x:v>Yes</x:v>
      </x:c>
    </x:row>
    <x:row r="36">
      <x:c r="A36" s="123" t="n">
        <x:v>46280</x:v>
      </x:c>
      <x:c r="B36" s="23" t="str">
        <x:v>Tue</x:v>
      </x:c>
      <x:c r="C36" s="23" t="n">
        <x:v>2</x:v>
      </x:c>
      <x:c r="D36" s="23" t="str">
        <x:v>Regular</x:v>
      </x:c>
      <x:c r="E36" s="23" t="str">
        <x:v>CE 3213</x:v>
      </x:c>
      <x:c r="F36" s="173" t="str">
        <x:v>Reinforced Concrete Structures - II</x:v>
      </x:c>
      <x:c r="G36" s="23" t="str">
        <x:v>11:30 AM–12:20 PM</x:v>
      </x:c>
      <x:c r="H36" s="23" t="str">
        <x:v>MKI</x:v>
      </x:c>
      <x:c r="I36" s="23" t="str">
        <x:v>405</x:v>
      </x:c>
      <x:c r="J36" s="23" t="str">
        <x:v>TUES P5</x:v>
      </x:c>
      <x:c r="K36" s="131" t="str"/>
      <x:c r="L36" s="143" t="str"/>
      <x:c r="M36" s="143" t="str"/>
      <x:c r="N36" s="143" t="str"/>
      <x:c r="O36" s="173" t="str"/>
      <x:c r="P36" s="159" t="str">
        <x:f>IF(COUNTIF('Routine &amp; Settings'!$I$5:$I$30,A36)&gt;0,"No",IF(E36="BECM 3204",IF(J36='Routine &amp; Settings'!$B$5,"Yes","No"),IF(E36="BECM 3208",IF(J36='Routine &amp; Settings'!$B$6,"Yes","No"),IF(E36="CE 3224",IF(J36='Routine &amp; Settings'!$B$7,"Yes","No"),IF(E36="BECM 3200",IF('Routine &amp; Settings'!$B$8="Odd Weeks",IF(MOD(C36,2)=1,"Yes","No"),IF(MOD(C36,2)=0,"Yes","No")),"Yes")))))</x:f>
        <x:v>Yes</x:v>
      </x:c>
    </x:row>
    <x:row r="37">
      <x:c r="A37" s="123" t="n">
        <x:v>46280</x:v>
      </x:c>
      <x:c r="B37" s="23" t="str">
        <x:v>Tue</x:v>
      </x:c>
      <x:c r="C37" s="23" t="n">
        <x:v>2</x:v>
      </x:c>
      <x:c r="D37" s="23" t="str">
        <x:v>Regular</x:v>
      </x:c>
      <x:c r="E37" s="23" t="str">
        <x:v>BECM 3201</x:v>
      </x:c>
      <x:c r="F37" s="173" t="str">
        <x:v>Construction and Project Management - II</x:v>
      </x:c>
      <x:c r="G37" s="23" t="str">
        <x:v>12:20 PM–01:10 PM</x:v>
      </x:c>
      <x:c r="H37" s="23" t="str">
        <x:v>MRA</x:v>
      </x:c>
      <x:c r="I37" s="23" t="str">
        <x:v>405</x:v>
      </x:c>
      <x:c r="J37" s="23" t="str">
        <x:v>TUES P6</x:v>
      </x:c>
      <x:c r="K37" s="131" t="str"/>
      <x:c r="L37" s="143" t="str"/>
      <x:c r="M37" s="143" t="str"/>
      <x:c r="N37" s="143" t="str"/>
      <x:c r="O37" s="173" t="str"/>
      <x:c r="P37" s="159" t="str">
        <x:f>IF(COUNTIF('Routine &amp; Settings'!$I$5:$I$30,A37)&gt;0,"No",IF(E37="BECM 3204",IF(J37='Routine &amp; Settings'!$B$5,"Yes","No"),IF(E37="BECM 3208",IF(J37='Routine &amp; Settings'!$B$6,"Yes","No"),IF(E37="CE 3224",IF(J37='Routine &amp; Settings'!$B$7,"Yes","No"),IF(E37="BECM 3200",IF('Routine &amp; Settings'!$B$8="Odd Weeks",IF(MOD(C37,2)=1,"Yes","No"),IF(MOD(C37,2)=0,"Yes","No")),"Yes")))))</x:f>
        <x:v>Yes</x:v>
      </x:c>
    </x:row>
    <x:row r="38">
      <x:c r="A38" s="123" t="n">
        <x:v>46280</x:v>
      </x:c>
      <x:c r="B38" s="23" t="str">
        <x:v>Tue</x:v>
      </x:c>
      <x:c r="C38" s="23" t="n">
        <x:v>2</x:v>
      </x:c>
      <x:c r="D38" s="23" t="str">
        <x:v>Regular</x:v>
      </x:c>
      <x:c r="E38" s="23" t="str">
        <x:v>BECM 3208</x:v>
      </x:c>
      <x:c r="F38" s="173" t="str">
        <x:v>Landscape Design</x:v>
      </x:c>
      <x:c r="G38" s="23" t="str">
        <x:v>02:30 PM–05:00 PM</x:v>
      </x:c>
      <x:c r="H38" s="23" t="str">
        <x:v>MSH/MSA</x:v>
      </x:c>
      <x:c r="I38" s="23" t="str"/>
      <x:c r="J38" s="23" t="str">
        <x:v>Tue PM</x:v>
      </x:c>
      <x:c r="K38" s="131" t="str"/>
      <x:c r="L38" s="143" t="str"/>
      <x:c r="M38" s="143" t="str"/>
      <x:c r="N38" s="143" t="str"/>
      <x:c r="O38" s="173" t="str"/>
      <x:c r="P38" s="159" t="str">
        <x:f>IF(COUNTIF('Routine &amp; Settings'!$I$5:$I$30,A38)&gt;0,"No",IF(E38="BECM 3204",IF(J38='Routine &amp; Settings'!$B$5,"Yes","No"),IF(E38="BECM 3208",IF(J38='Routine &amp; Settings'!$B$6,"Yes","No"),IF(E38="CE 3224",IF(J38='Routine &amp; Settings'!$B$7,"Yes","No"),IF(E38="BECM 3200",IF('Routine &amp; Settings'!$B$8="Odd Weeks",IF(MOD(C38,2)=1,"Yes","No"),IF(MOD(C38,2)=0,"Yes","No")),"Yes")))))</x:f>
        <x:v>Yes</x:v>
      </x:c>
    </x:row>
    <x:row r="39">
      <x:c r="A39" s="123" t="n">
        <x:v>46281</x:v>
      </x:c>
      <x:c r="B39" s="23" t="str">
        <x:v>Wed</x:v>
      </x:c>
      <x:c r="C39" s="23" t="n">
        <x:v>2</x:v>
      </x:c>
      <x:c r="D39" s="23" t="str">
        <x:v>Regular</x:v>
      </x:c>
      <x:c r="E39" s="23" t="str">
        <x:v>CE 3213</x:v>
      </x:c>
      <x:c r="F39" s="173" t="str">
        <x:v>Reinforced Concrete Structures - II</x:v>
      </x:c>
      <x:c r="G39" s="23" t="str">
        <x:v>09:40 AM–10:30 AM</x:v>
      </x:c>
      <x:c r="H39" s="23" t="str">
        <x:v>HRS/MKI</x:v>
      </x:c>
      <x:c r="I39" s="23" t="str">
        <x:v>501</x:v>
      </x:c>
      <x:c r="J39" s="23" t="str">
        <x:v>WED P3</x:v>
      </x:c>
      <x:c r="K39" s="131" t="str"/>
      <x:c r="L39" s="143" t="str"/>
      <x:c r="M39" s="143" t="str"/>
      <x:c r="N39" s="143" t="str"/>
      <x:c r="O39" s="173" t="str"/>
      <x:c r="P39" s="159" t="str">
        <x:f>IF(COUNTIF('Routine &amp; Settings'!$I$5:$I$30,A39)&gt;0,"No",IF(E39="BECM 3204",IF(J39='Routine &amp; Settings'!$B$5,"Yes","No"),IF(E39="BECM 3208",IF(J39='Routine &amp; Settings'!$B$6,"Yes","No"),IF(E39="CE 3224",IF(J39='Routine &amp; Settings'!$B$7,"Yes","No"),IF(E39="BECM 3200",IF('Routine &amp; Settings'!$B$8="Odd Weeks",IF(MOD(C39,2)=1,"Yes","No"),IF(MOD(C39,2)=0,"Yes","No")),"Yes")))))</x:f>
        <x:v>Yes</x:v>
      </x:c>
    </x:row>
    <x:row r="40">
      <x:c r="A40" s="123" t="n">
        <x:v>46281</x:v>
      </x:c>
      <x:c r="B40" s="23" t="str">
        <x:v>Wed</x:v>
      </x:c>
      <x:c r="C40" s="23" t="n">
        <x:v>2</x:v>
      </x:c>
      <x:c r="D40" s="23" t="str">
        <x:v>Regular</x:v>
      </x:c>
      <x:c r="E40" s="23" t="str">
        <x:v>CE 3211</x:v>
      </x:c>
      <x:c r="F40" s="173" t="str">
        <x:v>Structural Analysis and Design - II</x:v>
      </x:c>
      <x:c r="G40" s="23" t="str">
        <x:v>10:40 AM–11:30 AM</x:v>
      </x:c>
      <x:c r="H40" s="23" t="str">
        <x:v>ATB</x:v>
      </x:c>
      <x:c r="I40" s="23" t="str">
        <x:v>501</x:v>
      </x:c>
      <x:c r="J40" s="23" t="str">
        <x:v>WED P4</x:v>
      </x:c>
      <x:c r="K40" s="131" t="str"/>
      <x:c r="L40" s="143" t="str"/>
      <x:c r="M40" s="143" t="str"/>
      <x:c r="N40" s="143" t="str"/>
      <x:c r="O40" s="173" t="str"/>
      <x:c r="P40" s="159" t="str">
        <x:f>IF(COUNTIF('Routine &amp; Settings'!$I$5:$I$30,A40)&gt;0,"No",IF(E40="BECM 3204",IF(J40='Routine &amp; Settings'!$B$5,"Yes","No"),IF(E40="BECM 3208",IF(J40='Routine &amp; Settings'!$B$6,"Yes","No"),IF(E40="CE 3224",IF(J40='Routine &amp; Settings'!$B$7,"Yes","No"),IF(E40="BECM 3200",IF('Routine &amp; Settings'!$B$8="Odd Weeks",IF(MOD(C40,2)=1,"Yes","No"),IF(MOD(C40,2)=0,"Yes","No")),"Yes")))))</x:f>
        <x:v>Yes</x:v>
      </x:c>
    </x:row>
    <x:row r="41">
      <x:c r="A41" s="123" t="n">
        <x:v>46281</x:v>
      </x:c>
      <x:c r="B41" s="23" t="str">
        <x:v>Wed</x:v>
      </x:c>
      <x:c r="C41" s="23" t="n">
        <x:v>2</x:v>
      </x:c>
      <x:c r="D41" s="23" t="str">
        <x:v>Regular</x:v>
      </x:c>
      <x:c r="E41" s="23" t="str">
        <x:v>CE 3223</x:v>
      </x:c>
      <x:c r="F41" s="173" t="str">
        <x:v>Soil Mechanics</x:v>
      </x:c>
      <x:c r="G41" s="23" t="str">
        <x:v>11:30 AM–12:20 PM</x:v>
      </x:c>
      <x:c r="H41" s="23" t="str">
        <x:v>MHI</x:v>
      </x:c>
      <x:c r="I41" s="23" t="str">
        <x:v>501</x:v>
      </x:c>
      <x:c r="J41" s="23" t="str">
        <x:v>WED P5</x:v>
      </x:c>
      <x:c r="K41" s="131" t="str"/>
      <x:c r="L41" s="143" t="str"/>
      <x:c r="M41" s="143" t="str"/>
      <x:c r="N41" s="143" t="str"/>
      <x:c r="O41" s="173" t="str"/>
      <x:c r="P41" s="159" t="str">
        <x:f>IF(COUNTIF('Routine &amp; Settings'!$I$5:$I$30,A41)&gt;0,"No",IF(E41="BECM 3204",IF(J41='Routine &amp; Settings'!$B$5,"Yes","No"),IF(E41="BECM 3208",IF(J41='Routine &amp; Settings'!$B$6,"Yes","No"),IF(E41="CE 3224",IF(J41='Routine &amp; Settings'!$B$7,"Yes","No"),IF(E41="BECM 3200",IF('Routine &amp; Settings'!$B$8="Odd Weeks",IF(MOD(C41,2)=1,"Yes","No"),IF(MOD(C41,2)=0,"Yes","No")),"Yes")))))</x:f>
        <x:v>Yes</x:v>
      </x:c>
    </x:row>
    <x:row r="42">
      <x:c r="A42" s="123" t="n">
        <x:v>46281</x:v>
      </x:c>
      <x:c r="B42" s="23" t="str">
        <x:v>Wed</x:v>
      </x:c>
      <x:c r="C42" s="23" t="n">
        <x:v>2</x:v>
      </x:c>
      <x:c r="D42" s="23" t="str">
        <x:v>Regular</x:v>
      </x:c>
      <x:c r="E42" s="23" t="str">
        <x:v>BECM 3205</x:v>
      </x:c>
      <x:c r="F42" s="173" t="str">
        <x:v>Acoustics and Lighting</x:v>
      </x:c>
      <x:c r="G42" s="23" t="str">
        <x:v>12:20 PM–01:10 PM</x:v>
      </x:c>
      <x:c r="H42" s="23" t="str">
        <x:v>MSH/AAM</x:v>
      </x:c>
      <x:c r="I42" s="23" t="str">
        <x:v>501</x:v>
      </x:c>
      <x:c r="J42" s="23" t="str">
        <x:v>WED P6</x:v>
      </x:c>
      <x:c r="K42" s="131" t="str"/>
      <x:c r="L42" s="143" t="str"/>
      <x:c r="M42" s="143" t="str"/>
      <x:c r="N42" s="143" t="str"/>
      <x:c r="O42" s="173" t="str"/>
      <x:c r="P42" s="159" t="str">
        <x:f>IF(COUNTIF('Routine &amp; Settings'!$I$5:$I$30,A42)&gt;0,"No",IF(E42="BECM 3204",IF(J42='Routine &amp; Settings'!$B$5,"Yes","No"),IF(E42="BECM 3208",IF(J42='Routine &amp; Settings'!$B$6,"Yes","No"),IF(E42="CE 3224",IF(J42='Routine &amp; Settings'!$B$7,"Yes","No"),IF(E42="BECM 3200",IF('Routine &amp; Settings'!$B$8="Odd Weeks",IF(MOD(C42,2)=1,"Yes","No"),IF(MOD(C42,2)=0,"Yes","No")),"Yes")))))</x:f>
        <x:v>Yes</x:v>
      </x:c>
    </x:row>
    <x:row r="43">
      <x:c r="A43" s="123" t="n">
        <x:v>46281</x:v>
      </x:c>
      <x:c r="B43" s="23" t="str">
        <x:v>Wed</x:v>
      </x:c>
      <x:c r="C43" s="23" t="n">
        <x:v>2</x:v>
      </x:c>
      <x:c r="D43" s="23" t="str">
        <x:v>Regular</x:v>
      </x:c>
      <x:c r="E43" s="23" t="str">
        <x:v>BECM 3208</x:v>
      </x:c>
      <x:c r="F43" s="173" t="str">
        <x:v>Landscape Design</x:v>
      </x:c>
      <x:c r="G43" s="23" t="str">
        <x:v>02:30 PM–05:00 PM</x:v>
      </x:c>
      <x:c r="H43" s="23" t="str">
        <x:v>MSH/MSA</x:v>
      </x:c>
      <x:c r="I43" s="23" t="str">
        <x:v>501</x:v>
      </x:c>
      <x:c r="J43" s="23" t="str">
        <x:v>Wed PM</x:v>
      </x:c>
      <x:c r="K43" s="131" t="str"/>
      <x:c r="L43" s="143" t="str"/>
      <x:c r="M43" s="143" t="str"/>
      <x:c r="N43" s="143" t="str"/>
      <x:c r="O43" s="173" t="str"/>
      <x:c r="P43" s="159" t="str">
        <x:f>IF(COUNTIF('Routine &amp; Settings'!$I$5:$I$30,A43)&gt;0,"No",IF(E43="BECM 3204",IF(J43='Routine &amp; Settings'!$B$5,"Yes","No"),IF(E43="BECM 3208",IF(J43='Routine &amp; Settings'!$B$6,"Yes","No"),IF(E43="CE 3224",IF(J43='Routine &amp; Settings'!$B$7,"Yes","No"),IF(E43="BECM 3200",IF('Routine &amp; Settings'!$B$8="Odd Weeks",IF(MOD(C43,2)=1,"Yes","No"),IF(MOD(C43,2)=0,"Yes","No")),"Yes")))))</x:f>
        <x:v>No</x:v>
      </x:c>
    </x:row>
    <x:row r="44">
      <x:c r="A44" s="123" t="n">
        <x:v>46282</x:v>
      </x:c>
      <x:c r="B44" s="23" t="str">
        <x:v>Thu</x:v>
      </x:c>
      <x:c r="C44" s="23" t="n">
        <x:v>2</x:v>
      </x:c>
      <x:c r="D44" s="23" t="str">
        <x:v>Regular</x:v>
      </x:c>
      <x:c r="E44" s="23" t="str">
        <x:v>BECM 3204</x:v>
      </x:c>
      <x:c r="F44" s="173" t="str">
        <x:v>Construction Techniques and Equipments - II</x:v>
      </x:c>
      <x:c r="G44" s="23" t="str">
        <x:v>08:00 AM–10:30 AM</x:v>
      </x:c>
      <x:c r="H44" s="23" t="str">
        <x:v>HRS/MR</x:v>
      </x:c>
      <x:c r="I44" s="23" t="str"/>
      <x:c r="J44" s="23" t="str">
        <x:v>Thu AM</x:v>
      </x:c>
      <x:c r="K44" s="131" t="str"/>
      <x:c r="L44" s="143" t="str"/>
      <x:c r="M44" s="143" t="str"/>
      <x:c r="N44" s="143" t="str"/>
      <x:c r="O44" s="173" t="str"/>
      <x:c r="P44" s="159" t="str">
        <x:f>IF(COUNTIF('Routine &amp; Settings'!$I$5:$I$30,A44)&gt;0,"No",IF(E44="BECM 3204",IF(J44='Routine &amp; Settings'!$B$5,"Yes","No"),IF(E44="BECM 3208",IF(J44='Routine &amp; Settings'!$B$6,"Yes","No"),IF(E44="CE 3224",IF(J44='Routine &amp; Settings'!$B$7,"Yes","No"),IF(E44="BECM 3200",IF('Routine &amp; Settings'!$B$8="Odd Weeks",IF(MOD(C44,2)=1,"Yes","No"),IF(MOD(C44,2)=0,"Yes","No")),"Yes")))))</x:f>
        <x:v>No</x:v>
      </x:c>
    </x:row>
    <x:row r="45">
      <x:c r="A45" s="123" t="n">
        <x:v>46282</x:v>
      </x:c>
      <x:c r="B45" s="23" t="str">
        <x:v>Thu</x:v>
      </x:c>
      <x:c r="C45" s="23" t="n">
        <x:v>2</x:v>
      </x:c>
      <x:c r="D45" s="23" t="str">
        <x:v>Regular</x:v>
      </x:c>
      <x:c r="E45" s="23" t="str">
        <x:v>BECM 3205</x:v>
      </x:c>
      <x:c r="F45" s="173" t="str">
        <x:v>Acoustics and Lighting</x:v>
      </x:c>
      <x:c r="G45" s="23" t="str">
        <x:v>10:40 AM–11:30 AM</x:v>
      </x:c>
      <x:c r="H45" s="23" t="str">
        <x:v>MSH</x:v>
      </x:c>
      <x:c r="I45" s="23" t="str">
        <x:v>406</x:v>
      </x:c>
      <x:c r="J45" s="23" t="str">
        <x:v>THURS P4</x:v>
      </x:c>
      <x:c r="K45" s="131" t="str"/>
      <x:c r="L45" s="143" t="str"/>
      <x:c r="M45" s="143" t="str"/>
      <x:c r="N45" s="143" t="str"/>
      <x:c r="O45" s="173" t="str"/>
      <x:c r="P45" s="159" t="str">
        <x:f>IF(COUNTIF('Routine &amp; Settings'!$I$5:$I$30,A45)&gt;0,"No",IF(E45="BECM 3204",IF(J45='Routine &amp; Settings'!$B$5,"Yes","No"),IF(E45="BECM 3208",IF(J45='Routine &amp; Settings'!$B$6,"Yes","No"),IF(E45="CE 3224",IF(J45='Routine &amp; Settings'!$B$7,"Yes","No"),IF(E45="BECM 3200",IF('Routine &amp; Settings'!$B$8="Odd Weeks",IF(MOD(C45,2)=1,"Yes","No"),IF(MOD(C45,2)=0,"Yes","No")),"Yes")))))</x:f>
        <x:v>Yes</x:v>
      </x:c>
    </x:row>
    <x:row r="46">
      <x:c r="A46" s="123" t="n">
        <x:v>46282</x:v>
      </x:c>
      <x:c r="B46" s="23" t="str">
        <x:v>Thu</x:v>
      </x:c>
      <x:c r="C46" s="23" t="n">
        <x:v>2</x:v>
      </x:c>
      <x:c r="D46" s="23" t="str">
        <x:v>Regular</x:v>
      </x:c>
      <x:c r="E46" s="23" t="str">
        <x:v>CE 3211</x:v>
      </x:c>
      <x:c r="F46" s="173" t="str">
        <x:v>Structural Analysis and Design - II</x:v>
      </x:c>
      <x:c r="G46" s="23" t="str">
        <x:v>11:30 AM–12:20 PM</x:v>
      </x:c>
      <x:c r="H46" s="23" t="str">
        <x:v>MKI/ATB</x:v>
      </x:c>
      <x:c r="I46" s="23" t="str">
        <x:v>406</x:v>
      </x:c>
      <x:c r="J46" s="23" t="str">
        <x:v>THURS P5</x:v>
      </x:c>
      <x:c r="K46" s="131" t="str"/>
      <x:c r="L46" s="143" t="str"/>
      <x:c r="M46" s="143" t="str"/>
      <x:c r="N46" s="143" t="str"/>
      <x:c r="O46" s="173" t="str"/>
      <x:c r="P46" s="159" t="str">
        <x:f>IF(COUNTIF('Routine &amp; Settings'!$I$5:$I$30,A46)&gt;0,"No",IF(E46="BECM 3204",IF(J46='Routine &amp; Settings'!$B$5,"Yes","No"),IF(E46="BECM 3208",IF(J46='Routine &amp; Settings'!$B$6,"Yes","No"),IF(E46="CE 3224",IF(J46='Routine &amp; Settings'!$B$7,"Yes","No"),IF(E46="BECM 3200",IF('Routine &amp; Settings'!$B$8="Odd Weeks",IF(MOD(C46,2)=1,"Yes","No"),IF(MOD(C46,2)=0,"Yes","No")),"Yes")))))</x:f>
        <x:v>Yes</x:v>
      </x:c>
    </x:row>
    <x:row r="47">
      <x:c r="A47" s="123" t="n">
        <x:v>46282</x:v>
      </x:c>
      <x:c r="B47" s="23" t="str">
        <x:v>Thu</x:v>
      </x:c>
      <x:c r="C47" s="23" t="n">
        <x:v>2</x:v>
      </x:c>
      <x:c r="D47" s="23" t="str">
        <x:v>Regular</x:v>
      </x:c>
      <x:c r="E47" s="23" t="str">
        <x:v>BECM 3201</x:v>
      </x:c>
      <x:c r="F47" s="173" t="str">
        <x:v>Construction and Project Management - II</x:v>
      </x:c>
      <x:c r="G47" s="23" t="str">
        <x:v>12:20 PM–01:10 PM</x:v>
      </x:c>
      <x:c r="H47" s="23" t="str">
        <x:v>MR/MRA</x:v>
      </x:c>
      <x:c r="I47" s="23" t="str">
        <x:v>406</x:v>
      </x:c>
      <x:c r="J47" s="23" t="str">
        <x:v>THURS P6</x:v>
      </x:c>
      <x:c r="K47" s="131" t="str"/>
      <x:c r="L47" s="143" t="str"/>
      <x:c r="M47" s="143" t="str"/>
      <x:c r="N47" s="143" t="str"/>
      <x:c r="O47" s="173" t="str"/>
      <x:c r="P47" s="159" t="str">
        <x:f>IF(COUNTIF('Routine &amp; Settings'!$I$5:$I$30,A47)&gt;0,"No",IF(E47="BECM 3204",IF(J47='Routine &amp; Settings'!$B$5,"Yes","No"),IF(E47="BECM 3208",IF(J47='Routine &amp; Settings'!$B$6,"Yes","No"),IF(E47="CE 3224",IF(J47='Routine &amp; Settings'!$B$7,"Yes","No"),IF(E47="BECM 3200",IF('Routine &amp; Settings'!$B$8="Odd Weeks",IF(MOD(C47,2)=1,"Yes","No"),IF(MOD(C47,2)=0,"Yes","No")),"Yes")))))</x:f>
        <x:v>Yes</x:v>
      </x:c>
    </x:row>
    <x:row r="48">
      <x:c r="A48" s="123" t="n">
        <x:v>46282</x:v>
      </x:c>
      <x:c r="B48" s="23" t="str">
        <x:v>Thu</x:v>
      </x:c>
      <x:c r="C48" s="23" t="n">
        <x:v>2</x:v>
      </x:c>
      <x:c r="D48" s="23" t="str">
        <x:v>Regular</x:v>
      </x:c>
      <x:c r="E48" s="23" t="str">
        <x:v>CE 3224</x:v>
      </x:c>
      <x:c r="F48" s="173" t="str">
        <x:v>Sessional on Soil Mechanics</x:v>
      </x:c>
      <x:c r="G48" s="23" t="str">
        <x:v>02:30 PM–05:00 PM</x:v>
      </x:c>
      <x:c r="H48" s="23" t="str">
        <x:v>MHI/MRA</x:v>
      </x:c>
      <x:c r="I48" s="23" t="str">
        <x:v>405</x:v>
      </x:c>
      <x:c r="J48" s="23" t="str">
        <x:v>Thu PM</x:v>
      </x:c>
      <x:c r="K48" s="131" t="str"/>
      <x:c r="L48" s="143" t="str"/>
      <x:c r="M48" s="143" t="str"/>
      <x:c r="N48" s="143" t="str"/>
      <x:c r="O48" s="173" t="str"/>
      <x:c r="P48" s="159" t="str">
        <x:f>IF(COUNTIF('Routine &amp; Settings'!$I$5:$I$30,A48)&gt;0,"No",IF(E48="BECM 3204",IF(J48='Routine &amp; Settings'!$B$5,"Yes","No"),IF(E48="BECM 3208",IF(J48='Routine &amp; Settings'!$B$6,"Yes","No"),IF(E48="CE 3224",IF(J48='Routine &amp; Settings'!$B$7,"Yes","No"),IF(E48="BECM 3200",IF('Routine &amp; Settings'!$B$8="Odd Weeks",IF(MOD(C48,2)=1,"Yes","No"),IF(MOD(C48,2)=0,"Yes","No")),"Yes")))))</x:f>
        <x:v>No</x:v>
      </x:c>
    </x:row>
    <x:row r="49">
      <x:c r="A49" s="123" t="n">
        <x:v>46285</x:v>
      </x:c>
      <x:c r="B49" s="23" t="str">
        <x:v>Sun</x:v>
      </x:c>
      <x:c r="C49" s="23" t="n">
        <x:v>3</x:v>
      </x:c>
      <x:c r="D49" s="23" t="str">
        <x:v>Regular</x:v>
      </x:c>
      <x:c r="E49" s="23" t="str">
        <x:v>CE 3213</x:v>
      </x:c>
      <x:c r="F49" s="173" t="str">
        <x:v>Reinforced Concrete Structures - II</x:v>
      </x:c>
      <x:c r="G49" s="23" t="str">
        <x:v>10:40 AM–11:30 AM</x:v>
      </x:c>
      <x:c r="H49" s="23" t="str">
        <x:v>HRS</x:v>
      </x:c>
      <x:c r="I49" s="23" t="str">
        <x:v>501</x:v>
      </x:c>
      <x:c r="J49" s="23" t="str">
        <x:v>SUN P4</x:v>
      </x:c>
      <x:c r="K49" s="131" t="str"/>
      <x:c r="L49" s="143" t="str"/>
      <x:c r="M49" s="143" t="str"/>
      <x:c r="N49" s="143" t="str"/>
      <x:c r="O49" s="173" t="str"/>
      <x:c r="P49" s="159" t="str">
        <x:f>IF(COUNTIF('Routine &amp; Settings'!$I$5:$I$30,A49)&gt;0,"No",IF(E49="BECM 3204",IF(J49='Routine &amp; Settings'!$B$5,"Yes","No"),IF(E49="BECM 3208",IF(J49='Routine &amp; Settings'!$B$6,"Yes","No"),IF(E49="CE 3224",IF(J49='Routine &amp; Settings'!$B$7,"Yes","No"),IF(E49="BECM 3200",IF('Routine &amp; Settings'!$B$8="Odd Weeks",IF(MOD(C49,2)=1,"Yes","No"),IF(MOD(C49,2)=0,"Yes","No")),"Yes")))))</x:f>
        <x:v>Yes</x:v>
      </x:c>
    </x:row>
    <x:row r="50">
      <x:c r="A50" s="123" t="n">
        <x:v>46285</x:v>
      </x:c>
      <x:c r="B50" s="23" t="str">
        <x:v>Sun</x:v>
      </x:c>
      <x:c r="C50" s="23" t="n">
        <x:v>3</x:v>
      </x:c>
      <x:c r="D50" s="23" t="str">
        <x:v>Regular</x:v>
      </x:c>
      <x:c r="E50" s="23" t="str">
        <x:v>CE 3223</x:v>
      </x:c>
      <x:c r="F50" s="173" t="str">
        <x:v>Soil Mechanics</x:v>
      </x:c>
      <x:c r="G50" s="23" t="str">
        <x:v>11:30 AM–12:20 PM</x:v>
      </x:c>
      <x:c r="H50" s="23" t="str">
        <x:v>MSA</x:v>
      </x:c>
      <x:c r="I50" s="23" t="str">
        <x:v>501</x:v>
      </x:c>
      <x:c r="J50" s="23" t="str">
        <x:v>SUN P5</x:v>
      </x:c>
      <x:c r="K50" s="131" t="str"/>
      <x:c r="L50" s="143" t="str"/>
      <x:c r="M50" s="143" t="str"/>
      <x:c r="N50" s="143" t="str"/>
      <x:c r="O50" s="173" t="str"/>
      <x:c r="P50" s="159" t="str">
        <x:f>IF(COUNTIF('Routine &amp; Settings'!$I$5:$I$30,A50)&gt;0,"No",IF(E50="BECM 3204",IF(J50='Routine &amp; Settings'!$B$5,"Yes","No"),IF(E50="BECM 3208",IF(J50='Routine &amp; Settings'!$B$6,"Yes","No"),IF(E50="CE 3224",IF(J50='Routine &amp; Settings'!$B$7,"Yes","No"),IF(E50="BECM 3200",IF('Routine &amp; Settings'!$B$8="Odd Weeks",IF(MOD(C50,2)=1,"Yes","No"),IF(MOD(C50,2)=0,"Yes","No")),"Yes")))))</x:f>
        <x:v>Yes</x:v>
      </x:c>
    </x:row>
    <x:row r="51">
      <x:c r="A51" s="123" t="n">
        <x:v>46285</x:v>
      </x:c>
      <x:c r="B51" s="23" t="str">
        <x:v>Sun</x:v>
      </x:c>
      <x:c r="C51" s="23" t="n">
        <x:v>3</x:v>
      </x:c>
      <x:c r="D51" s="23" t="str">
        <x:v>Regular</x:v>
      </x:c>
      <x:c r="E51" s="23" t="str">
        <x:v>CE 3211</x:v>
      </x:c>
      <x:c r="F51" s="173" t="str">
        <x:v>Structural Analysis and Design - II</x:v>
      </x:c>
      <x:c r="G51" s="23" t="str">
        <x:v>12:20 PM–01:10 PM</x:v>
      </x:c>
      <x:c r="H51" s="23" t="str">
        <x:v>MKI</x:v>
      </x:c>
      <x:c r="I51" s="23" t="str">
        <x:v>501</x:v>
      </x:c>
      <x:c r="J51" s="23" t="str">
        <x:v>SUN P6</x:v>
      </x:c>
      <x:c r="K51" s="131" t="str"/>
      <x:c r="L51" s="143" t="str"/>
      <x:c r="M51" s="143" t="str"/>
      <x:c r="N51" s="143" t="str"/>
      <x:c r="O51" s="173" t="str"/>
      <x:c r="P51" s="159" t="str">
        <x:f>IF(COUNTIF('Routine &amp; Settings'!$I$5:$I$30,A51)&gt;0,"No",IF(E51="BECM 3204",IF(J51='Routine &amp; Settings'!$B$5,"Yes","No"),IF(E51="BECM 3208",IF(J51='Routine &amp; Settings'!$B$6,"Yes","No"),IF(E51="CE 3224",IF(J51='Routine &amp; Settings'!$B$7,"Yes","No"),IF(E51="BECM 3200",IF('Routine &amp; Settings'!$B$8="Odd Weeks",IF(MOD(C51,2)=1,"Yes","No"),IF(MOD(C51,2)=0,"Yes","No")),"Yes")))))</x:f>
        <x:v>Yes</x:v>
      </x:c>
    </x:row>
    <x:row r="52">
      <x:c r="A52" s="123" t="n">
        <x:v>46285</x:v>
      </x:c>
      <x:c r="B52" s="23" t="str">
        <x:v>Sun</x:v>
      </x:c>
      <x:c r="C52" s="23" t="n">
        <x:v>3</x:v>
      </x:c>
      <x:c r="D52" s="23" t="str">
        <x:v>Regular</x:v>
      </x:c>
      <x:c r="E52" s="23" t="str">
        <x:v>BECM 3204</x:v>
      </x:c>
      <x:c r="F52" s="173" t="str">
        <x:v>Construction Techniques and Equipments - II</x:v>
      </x:c>
      <x:c r="G52" s="23" t="str">
        <x:v>02:30 PM–05:00 PM</x:v>
      </x:c>
      <x:c r="H52" s="23" t="str">
        <x:v>HRS/MR</x:v>
      </x:c>
      <x:c r="I52" s="23" t="str">
        <x:v>404</x:v>
      </x:c>
      <x:c r="J52" s="23" t="str">
        <x:v>Sun PM</x:v>
      </x:c>
      <x:c r="K52" s="131" t="str"/>
      <x:c r="L52" s="143" t="str"/>
      <x:c r="M52" s="143" t="str"/>
      <x:c r="N52" s="143" t="str"/>
      <x:c r="O52" s="173" t="str"/>
      <x:c r="P52" s="159" t="str">
        <x:f>IF(COUNTIF('Routine &amp; Settings'!$I$5:$I$30,A52)&gt;0,"No",IF(E52="BECM 3204",IF(J52='Routine &amp; Settings'!$B$5,"Yes","No"),IF(E52="BECM 3208",IF(J52='Routine &amp; Settings'!$B$6,"Yes","No"),IF(E52="CE 3224",IF(J52='Routine &amp; Settings'!$B$7,"Yes","No"),IF(E52="BECM 3200",IF('Routine &amp; Settings'!$B$8="Odd Weeks",IF(MOD(C52,2)=1,"Yes","No"),IF(MOD(C52,2)=0,"Yes","No")),"Yes")))))</x:f>
        <x:v>Yes</x:v>
      </x:c>
    </x:row>
    <x:row r="53">
      <x:c r="A53" s="123" t="n">
        <x:v>46286</x:v>
      </x:c>
      <x:c r="B53" s="23" t="str">
        <x:v>Mon</x:v>
      </x:c>
      <x:c r="C53" s="23" t="n">
        <x:v>3</x:v>
      </x:c>
      <x:c r="D53" s="23" t="str">
        <x:v>Regular</x:v>
      </x:c>
      <x:c r="E53" s="23" t="str">
        <x:v>CE 3223</x:v>
      </x:c>
      <x:c r="F53" s="173" t="str">
        <x:v>Soil Mechanics</x:v>
      </x:c>
      <x:c r="G53" s="23" t="str">
        <x:v>09:40 AM–10:30 AM</x:v>
      </x:c>
      <x:c r="H53" s="23" t="str">
        <x:v>MHI/MSA</x:v>
      </x:c>
      <x:c r="I53" s="23" t="str">
        <x:v>404</x:v>
      </x:c>
      <x:c r="J53" s="23" t="str">
        <x:v>MON P3</x:v>
      </x:c>
      <x:c r="K53" s="131" t="str"/>
      <x:c r="L53" s="143" t="str"/>
      <x:c r="M53" s="143" t="str"/>
      <x:c r="N53" s="143" t="str"/>
      <x:c r="O53" s="173" t="str"/>
      <x:c r="P53" s="159" t="str">
        <x:f>IF(COUNTIF('Routine &amp; Settings'!$I$5:$I$30,A53)&gt;0,"No",IF(E53="BECM 3204",IF(J53='Routine &amp; Settings'!$B$5,"Yes","No"),IF(E53="BECM 3208",IF(J53='Routine &amp; Settings'!$B$6,"Yes","No"),IF(E53="CE 3224",IF(J53='Routine &amp; Settings'!$B$7,"Yes","No"),IF(E53="BECM 3200",IF('Routine &amp; Settings'!$B$8="Odd Weeks",IF(MOD(C53,2)=1,"Yes","No"),IF(MOD(C53,2)=0,"Yes","No")),"Yes")))))</x:f>
        <x:v>Yes</x:v>
      </x:c>
    </x:row>
    <x:row r="54">
      <x:c r="A54" s="123" t="n">
        <x:v>46286</x:v>
      </x:c>
      <x:c r="B54" s="23" t="str">
        <x:v>Mon</x:v>
      </x:c>
      <x:c r="C54" s="23" t="n">
        <x:v>3</x:v>
      </x:c>
      <x:c r="D54" s="23" t="str">
        <x:v>Regular</x:v>
      </x:c>
      <x:c r="E54" s="23" t="str">
        <x:v>BECM 3201</x:v>
      </x:c>
      <x:c r="F54" s="173" t="str">
        <x:v>Construction and Project Management - II</x:v>
      </x:c>
      <x:c r="G54" s="23" t="str">
        <x:v>11:30 AM–12:20 PM</x:v>
      </x:c>
      <x:c r="H54" s="23" t="str">
        <x:v>MR</x:v>
      </x:c>
      <x:c r="I54" s="23" t="str">
        <x:v>405</x:v>
      </x:c>
      <x:c r="J54" s="23" t="str">
        <x:v>MON P5</x:v>
      </x:c>
      <x:c r="K54" s="131" t="str"/>
      <x:c r="L54" s="143" t="str"/>
      <x:c r="M54" s="143" t="str"/>
      <x:c r="N54" s="143" t="str"/>
      <x:c r="O54" s="173" t="str"/>
      <x:c r="P54" s="159" t="str">
        <x:f>IF(COUNTIF('Routine &amp; Settings'!$I$5:$I$30,A54)&gt;0,"No",IF(E54="BECM 3204",IF(J54='Routine &amp; Settings'!$B$5,"Yes","No"),IF(E54="BECM 3208",IF(J54='Routine &amp; Settings'!$B$6,"Yes","No"),IF(E54="CE 3224",IF(J54='Routine &amp; Settings'!$B$7,"Yes","No"),IF(E54="BECM 3200",IF('Routine &amp; Settings'!$B$8="Odd Weeks",IF(MOD(C54,2)=1,"Yes","No"),IF(MOD(C54,2)=0,"Yes","No")),"Yes")))))</x:f>
        <x:v>Yes</x:v>
      </x:c>
    </x:row>
    <x:row r="55">
      <x:c r="A55" s="123" t="n">
        <x:v>46286</x:v>
      </x:c>
      <x:c r="B55" s="23" t="str">
        <x:v>Mon</x:v>
      </x:c>
      <x:c r="C55" s="23" t="n">
        <x:v>3</x:v>
      </x:c>
      <x:c r="D55" s="23" t="str">
        <x:v>Regular</x:v>
      </x:c>
      <x:c r="E55" s="23" t="str">
        <x:v>BECM 3205</x:v>
      </x:c>
      <x:c r="F55" s="173" t="str">
        <x:v>Acoustics and Lighting</x:v>
      </x:c>
      <x:c r="G55" s="23" t="str">
        <x:v>12:20 PM–01:10 PM</x:v>
      </x:c>
      <x:c r="H55" s="23" t="str">
        <x:v>AAM</x:v>
      </x:c>
      <x:c r="I55" s="23" t="str">
        <x:v>405</x:v>
      </x:c>
      <x:c r="J55" s="23" t="str">
        <x:v>MON P6</x:v>
      </x:c>
      <x:c r="K55" s="131" t="str"/>
      <x:c r="L55" s="143" t="str"/>
      <x:c r="M55" s="143" t="str"/>
      <x:c r="N55" s="143" t="str"/>
      <x:c r="O55" s="173" t="str"/>
      <x:c r="P55" s="159" t="str">
        <x:f>IF(COUNTIF('Routine &amp; Settings'!$I$5:$I$30,A55)&gt;0,"No",IF(E55="BECM 3204",IF(J55='Routine &amp; Settings'!$B$5,"Yes","No"),IF(E55="BECM 3208",IF(J55='Routine &amp; Settings'!$B$6,"Yes","No"),IF(E55="CE 3224",IF(J55='Routine &amp; Settings'!$B$7,"Yes","No"),IF(E55="BECM 3200",IF('Routine &amp; Settings'!$B$8="Odd Weeks",IF(MOD(C55,2)=1,"Yes","No"),IF(MOD(C55,2)=0,"Yes","No")),"Yes")))))</x:f>
        <x:v>Yes</x:v>
      </x:c>
    </x:row>
    <x:row r="56">
      <x:c r="A56" s="123" t="n">
        <x:v>46286</x:v>
      </x:c>
      <x:c r="B56" s="23" t="str">
        <x:v>Mon</x:v>
      </x:c>
      <x:c r="C56" s="23" t="n">
        <x:v>3</x:v>
      </x:c>
      <x:c r="D56" s="23" t="str">
        <x:v>Regular</x:v>
      </x:c>
      <x:c r="E56" s="23" t="str">
        <x:v>BECM 3200</x:v>
      </x:c>
      <x:c r="F56" s="173" t="str">
        <x:v>Project and Seminar</x:v>
      </x:c>
      <x:c r="G56" s="23" t="str">
        <x:v>02:30 PM–05:00 PM</x:v>
      </x:c>
      <x:c r="H56" s="23" t="str">
        <x:v>ALL</x:v>
      </x:c>
      <x:c r="I56" s="23" t="str"/>
      <x:c r="J56" s="23" t="str">
        <x:v>Mon PM</x:v>
      </x:c>
      <x:c r="K56" s="131" t="str"/>
      <x:c r="L56" s="143" t="str"/>
      <x:c r="M56" s="143" t="str"/>
      <x:c r="N56" s="143" t="str"/>
      <x:c r="O56" s="173" t="str"/>
      <x:c r="P56" s="159" t="str">
        <x:f>IF(COUNTIF('Routine &amp; Settings'!$I$5:$I$30,A56)&gt;0,"No",IF(E56="BECM 3204",IF(J56='Routine &amp; Settings'!$B$5,"Yes","No"),IF(E56="BECM 3208",IF(J56='Routine &amp; Settings'!$B$6,"Yes","No"),IF(E56="CE 3224",IF(J56='Routine &amp; Settings'!$B$7,"Yes","No"),IF(E56="BECM 3200",IF('Routine &amp; Settings'!$B$8="Odd Weeks",IF(MOD(C56,2)=1,"Yes","No"),IF(MOD(C56,2)=0,"Yes","No")),"Yes")))))</x:f>
        <x:v>Yes</x:v>
      </x:c>
    </x:row>
    <x:row r="57">
      <x:c r="A57" s="123" t="n">
        <x:v>46287</x:v>
      </x:c>
      <x:c r="B57" s="23" t="str">
        <x:v>Tue</x:v>
      </x:c>
      <x:c r="C57" s="23" t="n">
        <x:v>3</x:v>
      </x:c>
      <x:c r="D57" s="23" t="str">
        <x:v>Regular</x:v>
      </x:c>
      <x:c r="E57" s="23" t="str">
        <x:v>CE 3224</x:v>
      </x:c>
      <x:c r="F57" s="173" t="str">
        <x:v>Sessional on Soil Mechanics</x:v>
      </x:c>
      <x:c r="G57" s="23" t="str">
        <x:v>08:00 AM–10:30 AM</x:v>
      </x:c>
      <x:c r="H57" s="23" t="str">
        <x:v>MHI/MRA</x:v>
      </x:c>
      <x:c r="I57" s="23" t="str"/>
      <x:c r="J57" s="23" t="str">
        <x:v>Tue AM</x:v>
      </x:c>
      <x:c r="K57" s="131" t="str"/>
      <x:c r="L57" s="143" t="str"/>
      <x:c r="M57" s="143" t="str"/>
      <x:c r="N57" s="143" t="str"/>
      <x:c r="O57" s="173" t="str"/>
      <x:c r="P57" s="159" t="str">
        <x:f>IF(COUNTIF('Routine &amp; Settings'!$I$5:$I$30,A57)&gt;0,"No",IF(E57="BECM 3204",IF(J57='Routine &amp; Settings'!$B$5,"Yes","No"),IF(E57="BECM 3208",IF(J57='Routine &amp; Settings'!$B$6,"Yes","No"),IF(E57="CE 3224",IF(J57='Routine &amp; Settings'!$B$7,"Yes","No"),IF(E57="BECM 3200",IF('Routine &amp; Settings'!$B$8="Odd Weeks",IF(MOD(C57,2)=1,"Yes","No"),IF(MOD(C57,2)=0,"Yes","No")),"Yes")))))</x:f>
        <x:v>Yes</x:v>
      </x:c>
    </x:row>
    <x:row r="58">
      <x:c r="A58" s="123" t="n">
        <x:v>46287</x:v>
      </x:c>
      <x:c r="B58" s="23" t="str">
        <x:v>Tue</x:v>
      </x:c>
      <x:c r="C58" s="23" t="n">
        <x:v>3</x:v>
      </x:c>
      <x:c r="D58" s="23" t="str">
        <x:v>Regular</x:v>
      </x:c>
      <x:c r="E58" s="23" t="str">
        <x:v>CE 3213</x:v>
      </x:c>
      <x:c r="F58" s="173" t="str">
        <x:v>Reinforced Concrete Structures - II</x:v>
      </x:c>
      <x:c r="G58" s="23" t="str">
        <x:v>11:30 AM–12:20 PM</x:v>
      </x:c>
      <x:c r="H58" s="23" t="str">
        <x:v>MKI</x:v>
      </x:c>
      <x:c r="I58" s="23" t="str">
        <x:v>405</x:v>
      </x:c>
      <x:c r="J58" s="23" t="str">
        <x:v>TUES P5</x:v>
      </x:c>
      <x:c r="K58" s="131" t="str"/>
      <x:c r="L58" s="143" t="str"/>
      <x:c r="M58" s="143" t="str"/>
      <x:c r="N58" s="143" t="str"/>
      <x:c r="O58" s="173" t="str"/>
      <x:c r="P58" s="159" t="str">
        <x:f>IF(COUNTIF('Routine &amp; Settings'!$I$5:$I$30,A58)&gt;0,"No",IF(E58="BECM 3204",IF(J58='Routine &amp; Settings'!$B$5,"Yes","No"),IF(E58="BECM 3208",IF(J58='Routine &amp; Settings'!$B$6,"Yes","No"),IF(E58="CE 3224",IF(J58='Routine &amp; Settings'!$B$7,"Yes","No"),IF(E58="BECM 3200",IF('Routine &amp; Settings'!$B$8="Odd Weeks",IF(MOD(C58,2)=1,"Yes","No"),IF(MOD(C58,2)=0,"Yes","No")),"Yes")))))</x:f>
        <x:v>Yes</x:v>
      </x:c>
    </x:row>
    <x:row r="59">
      <x:c r="A59" s="123" t="n">
        <x:v>46287</x:v>
      </x:c>
      <x:c r="B59" s="23" t="str">
        <x:v>Tue</x:v>
      </x:c>
      <x:c r="C59" s="23" t="n">
        <x:v>3</x:v>
      </x:c>
      <x:c r="D59" s="23" t="str">
        <x:v>Regular</x:v>
      </x:c>
      <x:c r="E59" s="23" t="str">
        <x:v>BECM 3201</x:v>
      </x:c>
      <x:c r="F59" s="173" t="str">
        <x:v>Construction and Project Management - II</x:v>
      </x:c>
      <x:c r="G59" s="23" t="str">
        <x:v>12:20 PM–01:10 PM</x:v>
      </x:c>
      <x:c r="H59" s="23" t="str">
        <x:v>MRA</x:v>
      </x:c>
      <x:c r="I59" s="23" t="str">
        <x:v>405</x:v>
      </x:c>
      <x:c r="J59" s="23" t="str">
        <x:v>TUES P6</x:v>
      </x:c>
      <x:c r="K59" s="131" t="str"/>
      <x:c r="L59" s="143" t="str"/>
      <x:c r="M59" s="143" t="str"/>
      <x:c r="N59" s="143" t="str"/>
      <x:c r="O59" s="173" t="str"/>
      <x:c r="P59" s="159" t="str">
        <x:f>IF(COUNTIF('Routine &amp; Settings'!$I$5:$I$30,A59)&gt;0,"No",IF(E59="BECM 3204",IF(J59='Routine &amp; Settings'!$B$5,"Yes","No"),IF(E59="BECM 3208",IF(J59='Routine &amp; Settings'!$B$6,"Yes","No"),IF(E59="CE 3224",IF(J59='Routine &amp; Settings'!$B$7,"Yes","No"),IF(E59="BECM 3200",IF('Routine &amp; Settings'!$B$8="Odd Weeks",IF(MOD(C59,2)=1,"Yes","No"),IF(MOD(C59,2)=0,"Yes","No")),"Yes")))))</x:f>
        <x:v>Yes</x:v>
      </x:c>
    </x:row>
    <x:row r="60">
      <x:c r="A60" s="123" t="n">
        <x:v>46287</x:v>
      </x:c>
      <x:c r="B60" s="23" t="str">
        <x:v>Tue</x:v>
      </x:c>
      <x:c r="C60" s="23" t="n">
        <x:v>3</x:v>
      </x:c>
      <x:c r="D60" s="23" t="str">
        <x:v>Regular</x:v>
      </x:c>
      <x:c r="E60" s="23" t="str">
        <x:v>BECM 3208</x:v>
      </x:c>
      <x:c r="F60" s="173" t="str">
        <x:v>Landscape Design</x:v>
      </x:c>
      <x:c r="G60" s="23" t="str">
        <x:v>02:30 PM–05:00 PM</x:v>
      </x:c>
      <x:c r="H60" s="23" t="str">
        <x:v>MSH/MSA</x:v>
      </x:c>
      <x:c r="I60" s="23" t="str"/>
      <x:c r="J60" s="23" t="str">
        <x:v>Tue PM</x:v>
      </x:c>
      <x:c r="K60" s="131" t="str"/>
      <x:c r="L60" s="143" t="str"/>
      <x:c r="M60" s="143" t="str"/>
      <x:c r="N60" s="143" t="str"/>
      <x:c r="O60" s="173" t="str"/>
      <x:c r="P60" s="159" t="str">
        <x:f>IF(COUNTIF('Routine &amp; Settings'!$I$5:$I$30,A60)&gt;0,"No",IF(E60="BECM 3204",IF(J60='Routine &amp; Settings'!$B$5,"Yes","No"),IF(E60="BECM 3208",IF(J60='Routine &amp; Settings'!$B$6,"Yes","No"),IF(E60="CE 3224",IF(J60='Routine &amp; Settings'!$B$7,"Yes","No"),IF(E60="BECM 3200",IF('Routine &amp; Settings'!$B$8="Odd Weeks",IF(MOD(C60,2)=1,"Yes","No"),IF(MOD(C60,2)=0,"Yes","No")),"Yes")))))</x:f>
        <x:v>Yes</x:v>
      </x:c>
    </x:row>
    <x:row r="61">
      <x:c r="A61" s="123" t="n">
        <x:v>46288</x:v>
      </x:c>
      <x:c r="B61" s="23" t="str">
        <x:v>Wed</x:v>
      </x:c>
      <x:c r="C61" s="23" t="n">
        <x:v>3</x:v>
      </x:c>
      <x:c r="D61" s="23" t="str">
        <x:v>Regular</x:v>
      </x:c>
      <x:c r="E61" s="23" t="str">
        <x:v>CE 3213</x:v>
      </x:c>
      <x:c r="F61" s="173" t="str">
        <x:v>Reinforced Concrete Structures - II</x:v>
      </x:c>
      <x:c r="G61" s="23" t="str">
        <x:v>09:40 AM–10:30 AM</x:v>
      </x:c>
      <x:c r="H61" s="23" t="str">
        <x:v>HRS/MKI</x:v>
      </x:c>
      <x:c r="I61" s="23" t="str">
        <x:v>501</x:v>
      </x:c>
      <x:c r="J61" s="23" t="str">
        <x:v>WED P3</x:v>
      </x:c>
      <x:c r="K61" s="131" t="str"/>
      <x:c r="L61" s="143" t="str"/>
      <x:c r="M61" s="143" t="str"/>
      <x:c r="N61" s="143" t="str"/>
      <x:c r="O61" s="173" t="str"/>
      <x:c r="P61" s="159" t="str">
        <x:f>IF(COUNTIF('Routine &amp; Settings'!$I$5:$I$30,A61)&gt;0,"No",IF(E61="BECM 3204",IF(J61='Routine &amp; Settings'!$B$5,"Yes","No"),IF(E61="BECM 3208",IF(J61='Routine &amp; Settings'!$B$6,"Yes","No"),IF(E61="CE 3224",IF(J61='Routine &amp; Settings'!$B$7,"Yes","No"),IF(E61="BECM 3200",IF('Routine &amp; Settings'!$B$8="Odd Weeks",IF(MOD(C61,2)=1,"Yes","No"),IF(MOD(C61,2)=0,"Yes","No")),"Yes")))))</x:f>
        <x:v>Yes</x:v>
      </x:c>
    </x:row>
    <x:row r="62">
      <x:c r="A62" s="123" t="n">
        <x:v>46288</x:v>
      </x:c>
      <x:c r="B62" s="23" t="str">
        <x:v>Wed</x:v>
      </x:c>
      <x:c r="C62" s="23" t="n">
        <x:v>3</x:v>
      </x:c>
      <x:c r="D62" s="23" t="str">
        <x:v>Regular</x:v>
      </x:c>
      <x:c r="E62" s="23" t="str">
        <x:v>CE 3211</x:v>
      </x:c>
      <x:c r="F62" s="173" t="str">
        <x:v>Structural Analysis and Design - II</x:v>
      </x:c>
      <x:c r="G62" s="23" t="str">
        <x:v>10:40 AM–11:30 AM</x:v>
      </x:c>
      <x:c r="H62" s="23" t="str">
        <x:v>ATB</x:v>
      </x:c>
      <x:c r="I62" s="23" t="str">
        <x:v>501</x:v>
      </x:c>
      <x:c r="J62" s="23" t="str">
        <x:v>WED P4</x:v>
      </x:c>
      <x:c r="K62" s="131" t="str"/>
      <x:c r="L62" s="143" t="str"/>
      <x:c r="M62" s="143" t="str"/>
      <x:c r="N62" s="143" t="str"/>
      <x:c r="O62" s="173" t="str"/>
      <x:c r="P62" s="159" t="str">
        <x:f>IF(COUNTIF('Routine &amp; Settings'!$I$5:$I$30,A62)&gt;0,"No",IF(E62="BECM 3204",IF(J62='Routine &amp; Settings'!$B$5,"Yes","No"),IF(E62="BECM 3208",IF(J62='Routine &amp; Settings'!$B$6,"Yes","No"),IF(E62="CE 3224",IF(J62='Routine &amp; Settings'!$B$7,"Yes","No"),IF(E62="BECM 3200",IF('Routine &amp; Settings'!$B$8="Odd Weeks",IF(MOD(C62,2)=1,"Yes","No"),IF(MOD(C62,2)=0,"Yes","No")),"Yes")))))</x:f>
        <x:v>Yes</x:v>
      </x:c>
    </x:row>
    <x:row r="63">
      <x:c r="A63" s="123" t="n">
        <x:v>46288</x:v>
      </x:c>
      <x:c r="B63" s="23" t="str">
        <x:v>Wed</x:v>
      </x:c>
      <x:c r="C63" s="23" t="n">
        <x:v>3</x:v>
      </x:c>
      <x:c r="D63" s="23" t="str">
        <x:v>Regular</x:v>
      </x:c>
      <x:c r="E63" s="23" t="str">
        <x:v>CE 3223</x:v>
      </x:c>
      <x:c r="F63" s="173" t="str">
        <x:v>Soil Mechanics</x:v>
      </x:c>
      <x:c r="G63" s="23" t="str">
        <x:v>11:30 AM–12:20 PM</x:v>
      </x:c>
      <x:c r="H63" s="23" t="str">
        <x:v>MHI</x:v>
      </x:c>
      <x:c r="I63" s="23" t="str">
        <x:v>501</x:v>
      </x:c>
      <x:c r="J63" s="23" t="str">
        <x:v>WED P5</x:v>
      </x:c>
      <x:c r="K63" s="131" t="str"/>
      <x:c r="L63" s="143" t="str"/>
      <x:c r="M63" s="143" t="str"/>
      <x:c r="N63" s="143" t="str"/>
      <x:c r="O63" s="173" t="str"/>
      <x:c r="P63" s="159" t="str">
        <x:f>IF(COUNTIF('Routine &amp; Settings'!$I$5:$I$30,A63)&gt;0,"No",IF(E63="BECM 3204",IF(J63='Routine &amp; Settings'!$B$5,"Yes","No"),IF(E63="BECM 3208",IF(J63='Routine &amp; Settings'!$B$6,"Yes","No"),IF(E63="CE 3224",IF(J63='Routine &amp; Settings'!$B$7,"Yes","No"),IF(E63="BECM 3200",IF('Routine &amp; Settings'!$B$8="Odd Weeks",IF(MOD(C63,2)=1,"Yes","No"),IF(MOD(C63,2)=0,"Yes","No")),"Yes")))))</x:f>
        <x:v>Yes</x:v>
      </x:c>
    </x:row>
    <x:row r="64">
      <x:c r="A64" s="123" t="n">
        <x:v>46288</x:v>
      </x:c>
      <x:c r="B64" s="23" t="str">
        <x:v>Wed</x:v>
      </x:c>
      <x:c r="C64" s="23" t="n">
        <x:v>3</x:v>
      </x:c>
      <x:c r="D64" s="23" t="str">
        <x:v>Regular</x:v>
      </x:c>
      <x:c r="E64" s="23" t="str">
        <x:v>BECM 3205</x:v>
      </x:c>
      <x:c r="F64" s="173" t="str">
        <x:v>Acoustics and Lighting</x:v>
      </x:c>
      <x:c r="G64" s="23" t="str">
        <x:v>12:20 PM–01:10 PM</x:v>
      </x:c>
      <x:c r="H64" s="23" t="str">
        <x:v>MSH/AAM</x:v>
      </x:c>
      <x:c r="I64" s="23" t="str">
        <x:v>501</x:v>
      </x:c>
      <x:c r="J64" s="23" t="str">
        <x:v>WED P6</x:v>
      </x:c>
      <x:c r="K64" s="131" t="str"/>
      <x:c r="L64" s="143" t="str"/>
      <x:c r="M64" s="143" t="str"/>
      <x:c r="N64" s="143" t="str"/>
      <x:c r="O64" s="173" t="str"/>
      <x:c r="P64" s="159" t="str">
        <x:f>IF(COUNTIF('Routine &amp; Settings'!$I$5:$I$30,A64)&gt;0,"No",IF(E64="BECM 3204",IF(J64='Routine &amp; Settings'!$B$5,"Yes","No"),IF(E64="BECM 3208",IF(J64='Routine &amp; Settings'!$B$6,"Yes","No"),IF(E64="CE 3224",IF(J64='Routine &amp; Settings'!$B$7,"Yes","No"),IF(E64="BECM 3200",IF('Routine &amp; Settings'!$B$8="Odd Weeks",IF(MOD(C64,2)=1,"Yes","No"),IF(MOD(C64,2)=0,"Yes","No")),"Yes")))))</x:f>
        <x:v>Yes</x:v>
      </x:c>
    </x:row>
    <x:row r="65">
      <x:c r="A65" s="123" t="n">
        <x:v>46288</x:v>
      </x:c>
      <x:c r="B65" s="23" t="str">
        <x:v>Wed</x:v>
      </x:c>
      <x:c r="C65" s="23" t="n">
        <x:v>3</x:v>
      </x:c>
      <x:c r="D65" s="23" t="str">
        <x:v>Regular</x:v>
      </x:c>
      <x:c r="E65" s="23" t="str">
        <x:v>BECM 3208</x:v>
      </x:c>
      <x:c r="F65" s="173" t="str">
        <x:v>Landscape Design</x:v>
      </x:c>
      <x:c r="G65" s="23" t="str">
        <x:v>02:30 PM–05:00 PM</x:v>
      </x:c>
      <x:c r="H65" s="23" t="str">
        <x:v>MSH/MSA</x:v>
      </x:c>
      <x:c r="I65" s="23" t="str">
        <x:v>501</x:v>
      </x:c>
      <x:c r="J65" s="23" t="str">
        <x:v>Wed PM</x:v>
      </x:c>
      <x:c r="K65" s="131" t="str"/>
      <x:c r="L65" s="143" t="str"/>
      <x:c r="M65" s="143" t="str"/>
      <x:c r="N65" s="143" t="str"/>
      <x:c r="O65" s="173" t="str"/>
      <x:c r="P65" s="159" t="str">
        <x:f>IF(COUNTIF('Routine &amp; Settings'!$I$5:$I$30,A65)&gt;0,"No",IF(E65="BECM 3204",IF(J65='Routine &amp; Settings'!$B$5,"Yes","No"),IF(E65="BECM 3208",IF(J65='Routine &amp; Settings'!$B$6,"Yes","No"),IF(E65="CE 3224",IF(J65='Routine &amp; Settings'!$B$7,"Yes","No"),IF(E65="BECM 3200",IF('Routine &amp; Settings'!$B$8="Odd Weeks",IF(MOD(C65,2)=1,"Yes","No"),IF(MOD(C65,2)=0,"Yes","No")),"Yes")))))</x:f>
        <x:v>No</x:v>
      </x:c>
    </x:row>
    <x:row r="66">
      <x:c r="A66" s="123" t="n">
        <x:v>46289</x:v>
      </x:c>
      <x:c r="B66" s="23" t="str">
        <x:v>Thu</x:v>
      </x:c>
      <x:c r="C66" s="23" t="n">
        <x:v>3</x:v>
      </x:c>
      <x:c r="D66" s="23" t="str">
        <x:v>Regular</x:v>
      </x:c>
      <x:c r="E66" s="23" t="str">
        <x:v>BECM 3204</x:v>
      </x:c>
      <x:c r="F66" s="173" t="str">
        <x:v>Construction Techniques and Equipments - II</x:v>
      </x:c>
      <x:c r="G66" s="23" t="str">
        <x:v>08:00 AM–10:30 AM</x:v>
      </x:c>
      <x:c r="H66" s="23" t="str">
        <x:v>HRS/MR</x:v>
      </x:c>
      <x:c r="I66" s="23" t="str"/>
      <x:c r="J66" s="23" t="str">
        <x:v>Thu AM</x:v>
      </x:c>
      <x:c r="K66" s="131" t="str"/>
      <x:c r="L66" s="143" t="str"/>
      <x:c r="M66" s="143" t="str"/>
      <x:c r="N66" s="143" t="str"/>
      <x:c r="O66" s="173" t="str"/>
      <x:c r="P66" s="159" t="str">
        <x:f>IF(COUNTIF('Routine &amp; Settings'!$I$5:$I$30,A66)&gt;0,"No",IF(E66="BECM 3204",IF(J66='Routine &amp; Settings'!$B$5,"Yes","No"),IF(E66="BECM 3208",IF(J66='Routine &amp; Settings'!$B$6,"Yes","No"),IF(E66="CE 3224",IF(J66='Routine &amp; Settings'!$B$7,"Yes","No"),IF(E66="BECM 3200",IF('Routine &amp; Settings'!$B$8="Odd Weeks",IF(MOD(C66,2)=1,"Yes","No"),IF(MOD(C66,2)=0,"Yes","No")),"Yes")))))</x:f>
        <x:v>No</x:v>
      </x:c>
    </x:row>
    <x:row r="67">
      <x:c r="A67" s="123" t="n">
        <x:v>46289</x:v>
      </x:c>
      <x:c r="B67" s="23" t="str">
        <x:v>Thu</x:v>
      </x:c>
      <x:c r="C67" s="23" t="n">
        <x:v>3</x:v>
      </x:c>
      <x:c r="D67" s="23" t="str">
        <x:v>Regular</x:v>
      </x:c>
      <x:c r="E67" s="23" t="str">
        <x:v>BECM 3205</x:v>
      </x:c>
      <x:c r="F67" s="173" t="str">
        <x:v>Acoustics and Lighting</x:v>
      </x:c>
      <x:c r="G67" s="23" t="str">
        <x:v>10:40 AM–11:30 AM</x:v>
      </x:c>
      <x:c r="H67" s="23" t="str">
        <x:v>MSH</x:v>
      </x:c>
      <x:c r="I67" s="23" t="str">
        <x:v>406</x:v>
      </x:c>
      <x:c r="J67" s="23" t="str">
        <x:v>THURS P4</x:v>
      </x:c>
      <x:c r="K67" s="131" t="str"/>
      <x:c r="L67" s="143" t="str"/>
      <x:c r="M67" s="143" t="str"/>
      <x:c r="N67" s="143" t="str"/>
      <x:c r="O67" s="173" t="str"/>
      <x:c r="P67" s="159" t="str">
        <x:f>IF(COUNTIF('Routine &amp; Settings'!$I$5:$I$30,A67)&gt;0,"No",IF(E67="BECM 3204",IF(J67='Routine &amp; Settings'!$B$5,"Yes","No"),IF(E67="BECM 3208",IF(J67='Routine &amp; Settings'!$B$6,"Yes","No"),IF(E67="CE 3224",IF(J67='Routine &amp; Settings'!$B$7,"Yes","No"),IF(E67="BECM 3200",IF('Routine &amp; Settings'!$B$8="Odd Weeks",IF(MOD(C67,2)=1,"Yes","No"),IF(MOD(C67,2)=0,"Yes","No")),"Yes")))))</x:f>
        <x:v>Yes</x:v>
      </x:c>
    </x:row>
    <x:row r="68">
      <x:c r="A68" s="123" t="n">
        <x:v>46289</x:v>
      </x:c>
      <x:c r="B68" s="23" t="str">
        <x:v>Thu</x:v>
      </x:c>
      <x:c r="C68" s="23" t="n">
        <x:v>3</x:v>
      </x:c>
      <x:c r="D68" s="23" t="str">
        <x:v>Regular</x:v>
      </x:c>
      <x:c r="E68" s="23" t="str">
        <x:v>CE 3211</x:v>
      </x:c>
      <x:c r="F68" s="173" t="str">
        <x:v>Structural Analysis and Design - II</x:v>
      </x:c>
      <x:c r="G68" s="23" t="str">
        <x:v>11:30 AM–12:20 PM</x:v>
      </x:c>
      <x:c r="H68" s="23" t="str">
        <x:v>MKI/ATB</x:v>
      </x:c>
      <x:c r="I68" s="23" t="str">
        <x:v>406</x:v>
      </x:c>
      <x:c r="J68" s="23" t="str">
        <x:v>THURS P5</x:v>
      </x:c>
      <x:c r="K68" s="131" t="str"/>
      <x:c r="L68" s="143" t="str"/>
      <x:c r="M68" s="143" t="str"/>
      <x:c r="N68" s="143" t="str"/>
      <x:c r="O68" s="173" t="str"/>
      <x:c r="P68" s="159" t="str">
        <x:f>IF(COUNTIF('Routine &amp; Settings'!$I$5:$I$30,A68)&gt;0,"No",IF(E68="BECM 3204",IF(J68='Routine &amp; Settings'!$B$5,"Yes","No"),IF(E68="BECM 3208",IF(J68='Routine &amp; Settings'!$B$6,"Yes","No"),IF(E68="CE 3224",IF(J68='Routine &amp; Settings'!$B$7,"Yes","No"),IF(E68="BECM 3200",IF('Routine &amp; Settings'!$B$8="Odd Weeks",IF(MOD(C68,2)=1,"Yes","No"),IF(MOD(C68,2)=0,"Yes","No")),"Yes")))))</x:f>
        <x:v>Yes</x:v>
      </x:c>
    </x:row>
    <x:row r="69">
      <x:c r="A69" s="123" t="n">
        <x:v>46289</x:v>
      </x:c>
      <x:c r="B69" s="23" t="str">
        <x:v>Thu</x:v>
      </x:c>
      <x:c r="C69" s="23" t="n">
        <x:v>3</x:v>
      </x:c>
      <x:c r="D69" s="23" t="str">
        <x:v>Regular</x:v>
      </x:c>
      <x:c r="E69" s="23" t="str">
        <x:v>BECM 3201</x:v>
      </x:c>
      <x:c r="F69" s="173" t="str">
        <x:v>Construction and Project Management - II</x:v>
      </x:c>
      <x:c r="G69" s="23" t="str">
        <x:v>12:20 PM–01:10 PM</x:v>
      </x:c>
      <x:c r="H69" s="23" t="str">
        <x:v>MR/MRA</x:v>
      </x:c>
      <x:c r="I69" s="23" t="str">
        <x:v>406</x:v>
      </x:c>
      <x:c r="J69" s="23" t="str">
        <x:v>THURS P6</x:v>
      </x:c>
      <x:c r="K69" s="131" t="str"/>
      <x:c r="L69" s="143" t="str"/>
      <x:c r="M69" s="143" t="str"/>
      <x:c r="N69" s="143" t="str"/>
      <x:c r="O69" s="173" t="str"/>
      <x:c r="P69" s="159" t="str">
        <x:f>IF(COUNTIF('Routine &amp; Settings'!$I$5:$I$30,A69)&gt;0,"No",IF(E69="BECM 3204",IF(J69='Routine &amp; Settings'!$B$5,"Yes","No"),IF(E69="BECM 3208",IF(J69='Routine &amp; Settings'!$B$6,"Yes","No"),IF(E69="CE 3224",IF(J69='Routine &amp; Settings'!$B$7,"Yes","No"),IF(E69="BECM 3200",IF('Routine &amp; Settings'!$B$8="Odd Weeks",IF(MOD(C69,2)=1,"Yes","No"),IF(MOD(C69,2)=0,"Yes","No")),"Yes")))))</x:f>
        <x:v>Yes</x:v>
      </x:c>
    </x:row>
    <x:row r="70">
      <x:c r="A70" s="123" t="n">
        <x:v>46289</x:v>
      </x:c>
      <x:c r="B70" s="23" t="str">
        <x:v>Thu</x:v>
      </x:c>
      <x:c r="C70" s="23" t="n">
        <x:v>3</x:v>
      </x:c>
      <x:c r="D70" s="23" t="str">
        <x:v>Regular</x:v>
      </x:c>
      <x:c r="E70" s="23" t="str">
        <x:v>CE 3224</x:v>
      </x:c>
      <x:c r="F70" s="173" t="str">
        <x:v>Sessional on Soil Mechanics</x:v>
      </x:c>
      <x:c r="G70" s="23" t="str">
        <x:v>02:30 PM–05:00 PM</x:v>
      </x:c>
      <x:c r="H70" s="23" t="str">
        <x:v>MHI/MRA</x:v>
      </x:c>
      <x:c r="I70" s="23" t="str">
        <x:v>405</x:v>
      </x:c>
      <x:c r="J70" s="23" t="str">
        <x:v>Thu PM</x:v>
      </x:c>
      <x:c r="K70" s="131" t="str"/>
      <x:c r="L70" s="143" t="str"/>
      <x:c r="M70" s="143" t="str"/>
      <x:c r="N70" s="143" t="str"/>
      <x:c r="O70" s="173" t="str"/>
      <x:c r="P70" s="159" t="str">
        <x:f>IF(COUNTIF('Routine &amp; Settings'!$I$5:$I$30,A70)&gt;0,"No",IF(E70="BECM 3204",IF(J70='Routine &amp; Settings'!$B$5,"Yes","No"),IF(E70="BECM 3208",IF(J70='Routine &amp; Settings'!$B$6,"Yes","No"),IF(E70="CE 3224",IF(J70='Routine &amp; Settings'!$B$7,"Yes","No"),IF(E70="BECM 3200",IF('Routine &amp; Settings'!$B$8="Odd Weeks",IF(MOD(C70,2)=1,"Yes","No"),IF(MOD(C70,2)=0,"Yes","No")),"Yes")))))</x:f>
        <x:v>No</x:v>
      </x:c>
    </x:row>
    <x:row r="71">
      <x:c r="A71" s="123" t="n">
        <x:v>46292</x:v>
      </x:c>
      <x:c r="B71" s="23" t="str">
        <x:v>Sun</x:v>
      </x:c>
      <x:c r="C71" s="23" t="n">
        <x:v>4</x:v>
      </x:c>
      <x:c r="D71" s="23" t="str">
        <x:v>Regular</x:v>
      </x:c>
      <x:c r="E71" s="23" t="str">
        <x:v>CE 3213</x:v>
      </x:c>
      <x:c r="F71" s="173" t="str">
        <x:v>Reinforced Concrete Structures - II</x:v>
      </x:c>
      <x:c r="G71" s="23" t="str">
        <x:v>10:40 AM–11:30 AM</x:v>
      </x:c>
      <x:c r="H71" s="23" t="str">
        <x:v>HRS</x:v>
      </x:c>
      <x:c r="I71" s="23" t="str">
        <x:v>501</x:v>
      </x:c>
      <x:c r="J71" s="23" t="str">
        <x:v>SUN P4</x:v>
      </x:c>
      <x:c r="K71" s="131" t="str"/>
      <x:c r="L71" s="143" t="str"/>
      <x:c r="M71" s="143" t="str"/>
      <x:c r="N71" s="143" t="str"/>
      <x:c r="O71" s="173" t="str"/>
      <x:c r="P71" s="159" t="str">
        <x:f>IF(COUNTIF('Routine &amp; Settings'!$I$5:$I$30,A71)&gt;0,"No",IF(E71="BECM 3204",IF(J71='Routine &amp; Settings'!$B$5,"Yes","No"),IF(E71="BECM 3208",IF(J71='Routine &amp; Settings'!$B$6,"Yes","No"),IF(E71="CE 3224",IF(J71='Routine &amp; Settings'!$B$7,"Yes","No"),IF(E71="BECM 3200",IF('Routine &amp; Settings'!$B$8="Odd Weeks",IF(MOD(C71,2)=1,"Yes","No"),IF(MOD(C71,2)=0,"Yes","No")),"Yes")))))</x:f>
        <x:v>Yes</x:v>
      </x:c>
    </x:row>
    <x:row r="72">
      <x:c r="A72" s="123" t="n">
        <x:v>46292</x:v>
      </x:c>
      <x:c r="B72" s="23" t="str">
        <x:v>Sun</x:v>
      </x:c>
      <x:c r="C72" s="23" t="n">
        <x:v>4</x:v>
      </x:c>
      <x:c r="D72" s="23" t="str">
        <x:v>Regular</x:v>
      </x:c>
      <x:c r="E72" s="23" t="str">
        <x:v>CE 3223</x:v>
      </x:c>
      <x:c r="F72" s="173" t="str">
        <x:v>Soil Mechanics</x:v>
      </x:c>
      <x:c r="G72" s="23" t="str">
        <x:v>11:30 AM–12:20 PM</x:v>
      </x:c>
      <x:c r="H72" s="23" t="str">
        <x:v>MSA</x:v>
      </x:c>
      <x:c r="I72" s="23" t="str">
        <x:v>501</x:v>
      </x:c>
      <x:c r="J72" s="23" t="str">
        <x:v>SUN P5</x:v>
      </x:c>
      <x:c r="K72" s="131" t="str"/>
      <x:c r="L72" s="143" t="str"/>
      <x:c r="M72" s="143" t="str"/>
      <x:c r="N72" s="143" t="str"/>
      <x:c r="O72" s="173" t="str"/>
      <x:c r="P72" s="159" t="str">
        <x:f>IF(COUNTIF('Routine &amp; Settings'!$I$5:$I$30,A72)&gt;0,"No",IF(E72="BECM 3204",IF(J72='Routine &amp; Settings'!$B$5,"Yes","No"),IF(E72="BECM 3208",IF(J72='Routine &amp; Settings'!$B$6,"Yes","No"),IF(E72="CE 3224",IF(J72='Routine &amp; Settings'!$B$7,"Yes","No"),IF(E72="BECM 3200",IF('Routine &amp; Settings'!$B$8="Odd Weeks",IF(MOD(C72,2)=1,"Yes","No"),IF(MOD(C72,2)=0,"Yes","No")),"Yes")))))</x:f>
        <x:v>Yes</x:v>
      </x:c>
    </x:row>
    <x:row r="73">
      <x:c r="A73" s="123" t="n">
        <x:v>46292</x:v>
      </x:c>
      <x:c r="B73" s="23" t="str">
        <x:v>Sun</x:v>
      </x:c>
      <x:c r="C73" s="23" t="n">
        <x:v>4</x:v>
      </x:c>
      <x:c r="D73" s="23" t="str">
        <x:v>Regular</x:v>
      </x:c>
      <x:c r="E73" s="23" t="str">
        <x:v>CE 3211</x:v>
      </x:c>
      <x:c r="F73" s="173" t="str">
        <x:v>Structural Analysis and Design - II</x:v>
      </x:c>
      <x:c r="G73" s="23" t="str">
        <x:v>12:20 PM–01:10 PM</x:v>
      </x:c>
      <x:c r="H73" s="23" t="str">
        <x:v>MKI</x:v>
      </x:c>
      <x:c r="I73" s="23" t="str">
        <x:v>501</x:v>
      </x:c>
      <x:c r="J73" s="23" t="str">
        <x:v>SUN P6</x:v>
      </x:c>
      <x:c r="K73" s="131" t="str"/>
      <x:c r="L73" s="143" t="str"/>
      <x:c r="M73" s="143" t="str"/>
      <x:c r="N73" s="143" t="str"/>
      <x:c r="O73" s="173" t="str"/>
      <x:c r="P73" s="159" t="str">
        <x:f>IF(COUNTIF('Routine &amp; Settings'!$I$5:$I$30,A73)&gt;0,"No",IF(E73="BECM 3204",IF(J73='Routine &amp; Settings'!$B$5,"Yes","No"),IF(E73="BECM 3208",IF(J73='Routine &amp; Settings'!$B$6,"Yes","No"),IF(E73="CE 3224",IF(J73='Routine &amp; Settings'!$B$7,"Yes","No"),IF(E73="BECM 3200",IF('Routine &amp; Settings'!$B$8="Odd Weeks",IF(MOD(C73,2)=1,"Yes","No"),IF(MOD(C73,2)=0,"Yes","No")),"Yes")))))</x:f>
        <x:v>Yes</x:v>
      </x:c>
    </x:row>
    <x:row r="74">
      <x:c r="A74" s="123" t="n">
        <x:v>46292</x:v>
      </x:c>
      <x:c r="B74" s="23" t="str">
        <x:v>Sun</x:v>
      </x:c>
      <x:c r="C74" s="23" t="n">
        <x:v>4</x:v>
      </x:c>
      <x:c r="D74" s="23" t="str">
        <x:v>Regular</x:v>
      </x:c>
      <x:c r="E74" s="23" t="str">
        <x:v>BECM 3204</x:v>
      </x:c>
      <x:c r="F74" s="173" t="str">
        <x:v>Construction Techniques and Equipments - II</x:v>
      </x:c>
      <x:c r="G74" s="23" t="str">
        <x:v>02:30 PM–05:00 PM</x:v>
      </x:c>
      <x:c r="H74" s="23" t="str">
        <x:v>HRS/MR</x:v>
      </x:c>
      <x:c r="I74" s="23" t="str">
        <x:v>404</x:v>
      </x:c>
      <x:c r="J74" s="23" t="str">
        <x:v>Sun PM</x:v>
      </x:c>
      <x:c r="K74" s="131" t="str"/>
      <x:c r="L74" s="143" t="str"/>
      <x:c r="M74" s="143" t="str"/>
      <x:c r="N74" s="143" t="str"/>
      <x:c r="O74" s="173" t="str"/>
      <x:c r="P74" s="159" t="str">
        <x:f>IF(COUNTIF('Routine &amp; Settings'!$I$5:$I$30,A74)&gt;0,"No",IF(E74="BECM 3204",IF(J74='Routine &amp; Settings'!$B$5,"Yes","No"),IF(E74="BECM 3208",IF(J74='Routine &amp; Settings'!$B$6,"Yes","No"),IF(E74="CE 3224",IF(J74='Routine &amp; Settings'!$B$7,"Yes","No"),IF(E74="BECM 3200",IF('Routine &amp; Settings'!$B$8="Odd Weeks",IF(MOD(C74,2)=1,"Yes","No"),IF(MOD(C74,2)=0,"Yes","No")),"Yes")))))</x:f>
        <x:v>Yes</x:v>
      </x:c>
    </x:row>
    <x:row r="75">
      <x:c r="A75" s="123" t="n">
        <x:v>46293</x:v>
      </x:c>
      <x:c r="B75" s="23" t="str">
        <x:v>Mon</x:v>
      </x:c>
      <x:c r="C75" s="23" t="n">
        <x:v>4</x:v>
      </x:c>
      <x:c r="D75" s="23" t="str">
        <x:v>Regular</x:v>
      </x:c>
      <x:c r="E75" s="23" t="str">
        <x:v>CE 3223</x:v>
      </x:c>
      <x:c r="F75" s="173" t="str">
        <x:v>Soil Mechanics</x:v>
      </x:c>
      <x:c r="G75" s="23" t="str">
        <x:v>09:40 AM–10:30 AM</x:v>
      </x:c>
      <x:c r="H75" s="23" t="str">
        <x:v>MHI/MSA</x:v>
      </x:c>
      <x:c r="I75" s="23" t="str">
        <x:v>404</x:v>
      </x:c>
      <x:c r="J75" s="23" t="str">
        <x:v>MON P3</x:v>
      </x:c>
      <x:c r="K75" s="131" t="str"/>
      <x:c r="L75" s="143" t="str"/>
      <x:c r="M75" s="143" t="str"/>
      <x:c r="N75" s="143" t="str"/>
      <x:c r="O75" s="173" t="str"/>
      <x:c r="P75" s="159" t="str">
        <x:f>IF(COUNTIF('Routine &amp; Settings'!$I$5:$I$30,A75)&gt;0,"No",IF(E75="BECM 3204",IF(J75='Routine &amp; Settings'!$B$5,"Yes","No"),IF(E75="BECM 3208",IF(J75='Routine &amp; Settings'!$B$6,"Yes","No"),IF(E75="CE 3224",IF(J75='Routine &amp; Settings'!$B$7,"Yes","No"),IF(E75="BECM 3200",IF('Routine &amp; Settings'!$B$8="Odd Weeks",IF(MOD(C75,2)=1,"Yes","No"),IF(MOD(C75,2)=0,"Yes","No")),"Yes")))))</x:f>
        <x:v>Yes</x:v>
      </x:c>
    </x:row>
    <x:row r="76">
      <x:c r="A76" s="123" t="n">
        <x:v>46293</x:v>
      </x:c>
      <x:c r="B76" s="23" t="str">
        <x:v>Mon</x:v>
      </x:c>
      <x:c r="C76" s="23" t="n">
        <x:v>4</x:v>
      </x:c>
      <x:c r="D76" s="23" t="str">
        <x:v>Regular</x:v>
      </x:c>
      <x:c r="E76" s="23" t="str">
        <x:v>BECM 3201</x:v>
      </x:c>
      <x:c r="F76" s="173" t="str">
        <x:v>Construction and Project Management - II</x:v>
      </x:c>
      <x:c r="G76" s="23" t="str">
        <x:v>11:30 AM–12:20 PM</x:v>
      </x:c>
      <x:c r="H76" s="23" t="str">
        <x:v>MR</x:v>
      </x:c>
      <x:c r="I76" s="23" t="str">
        <x:v>405</x:v>
      </x:c>
      <x:c r="J76" s="23" t="str">
        <x:v>MON P5</x:v>
      </x:c>
      <x:c r="K76" s="131" t="str"/>
      <x:c r="L76" s="143" t="str"/>
      <x:c r="M76" s="143" t="str"/>
      <x:c r="N76" s="143" t="str"/>
      <x:c r="O76" s="173" t="str"/>
      <x:c r="P76" s="159" t="str">
        <x:f>IF(COUNTIF('Routine &amp; Settings'!$I$5:$I$30,A76)&gt;0,"No",IF(E76="BECM 3204",IF(J76='Routine &amp; Settings'!$B$5,"Yes","No"),IF(E76="BECM 3208",IF(J76='Routine &amp; Settings'!$B$6,"Yes","No"),IF(E76="CE 3224",IF(J76='Routine &amp; Settings'!$B$7,"Yes","No"),IF(E76="BECM 3200",IF('Routine &amp; Settings'!$B$8="Odd Weeks",IF(MOD(C76,2)=1,"Yes","No"),IF(MOD(C76,2)=0,"Yes","No")),"Yes")))))</x:f>
        <x:v>Yes</x:v>
      </x:c>
    </x:row>
    <x:row r="77">
      <x:c r="A77" s="123" t="n">
        <x:v>46293</x:v>
      </x:c>
      <x:c r="B77" s="23" t="str">
        <x:v>Mon</x:v>
      </x:c>
      <x:c r="C77" s="23" t="n">
        <x:v>4</x:v>
      </x:c>
      <x:c r="D77" s="23" t="str">
        <x:v>Regular</x:v>
      </x:c>
      <x:c r="E77" s="23" t="str">
        <x:v>BECM 3205</x:v>
      </x:c>
      <x:c r="F77" s="173" t="str">
        <x:v>Acoustics and Lighting</x:v>
      </x:c>
      <x:c r="G77" s="23" t="str">
        <x:v>12:20 PM–01:10 PM</x:v>
      </x:c>
      <x:c r="H77" s="23" t="str">
        <x:v>AAM</x:v>
      </x:c>
      <x:c r="I77" s="23" t="str">
        <x:v>405</x:v>
      </x:c>
      <x:c r="J77" s="23" t="str">
        <x:v>MON P6</x:v>
      </x:c>
      <x:c r="K77" s="131" t="str"/>
      <x:c r="L77" s="143" t="str"/>
      <x:c r="M77" s="143" t="str"/>
      <x:c r="N77" s="143" t="str"/>
      <x:c r="O77" s="173" t="str"/>
      <x:c r="P77" s="159" t="str">
        <x:f>IF(COUNTIF('Routine &amp; Settings'!$I$5:$I$30,A77)&gt;0,"No",IF(E77="BECM 3204",IF(J77='Routine &amp; Settings'!$B$5,"Yes","No"),IF(E77="BECM 3208",IF(J77='Routine &amp; Settings'!$B$6,"Yes","No"),IF(E77="CE 3224",IF(J77='Routine &amp; Settings'!$B$7,"Yes","No"),IF(E77="BECM 3200",IF('Routine &amp; Settings'!$B$8="Odd Weeks",IF(MOD(C77,2)=1,"Yes","No"),IF(MOD(C77,2)=0,"Yes","No")),"Yes")))))</x:f>
        <x:v>Yes</x:v>
      </x:c>
    </x:row>
    <x:row r="78">
      <x:c r="A78" s="123" t="n">
        <x:v>46293</x:v>
      </x:c>
      <x:c r="B78" s="23" t="str">
        <x:v>Mon</x:v>
      </x:c>
      <x:c r="C78" s="23" t="n">
        <x:v>4</x:v>
      </x:c>
      <x:c r="D78" s="23" t="str">
        <x:v>Regular</x:v>
      </x:c>
      <x:c r="E78" s="23" t="str">
        <x:v>BECM 3200</x:v>
      </x:c>
      <x:c r="F78" s="173" t="str">
        <x:v>Project and Seminar</x:v>
      </x:c>
      <x:c r="G78" s="23" t="str">
        <x:v>02:30 PM–05:00 PM</x:v>
      </x:c>
      <x:c r="H78" s="23" t="str">
        <x:v>ALL</x:v>
      </x:c>
      <x:c r="I78" s="23" t="str"/>
      <x:c r="J78" s="23" t="str">
        <x:v>Mon PM</x:v>
      </x:c>
      <x:c r="K78" s="131" t="str"/>
      <x:c r="L78" s="143" t="str"/>
      <x:c r="M78" s="143" t="str"/>
      <x:c r="N78" s="143" t="str"/>
      <x:c r="O78" s="173" t="str"/>
      <x:c r="P78" s="159" t="str">
        <x:f>IF(COUNTIF('Routine &amp; Settings'!$I$5:$I$30,A78)&gt;0,"No",IF(E78="BECM 3204",IF(J78='Routine &amp; Settings'!$B$5,"Yes","No"),IF(E78="BECM 3208",IF(J78='Routine &amp; Settings'!$B$6,"Yes","No"),IF(E78="CE 3224",IF(J78='Routine &amp; Settings'!$B$7,"Yes","No"),IF(E78="BECM 3200",IF('Routine &amp; Settings'!$B$8="Odd Weeks",IF(MOD(C78,2)=1,"Yes","No"),IF(MOD(C78,2)=0,"Yes","No")),"Yes")))))</x:f>
        <x:v>No</x:v>
      </x:c>
    </x:row>
    <x:row r="79">
      <x:c r="A79" s="123" t="n">
        <x:v>46294</x:v>
      </x:c>
      <x:c r="B79" s="23" t="str">
        <x:v>Tue</x:v>
      </x:c>
      <x:c r="C79" s="23" t="n">
        <x:v>4</x:v>
      </x:c>
      <x:c r="D79" s="23" t="str">
        <x:v>Regular</x:v>
      </x:c>
      <x:c r="E79" s="23" t="str">
        <x:v>CE 3224</x:v>
      </x:c>
      <x:c r="F79" s="173" t="str">
        <x:v>Sessional on Soil Mechanics</x:v>
      </x:c>
      <x:c r="G79" s="23" t="str">
        <x:v>08:00 AM–10:30 AM</x:v>
      </x:c>
      <x:c r="H79" s="23" t="str">
        <x:v>MHI/MRA</x:v>
      </x:c>
      <x:c r="I79" s="23" t="str"/>
      <x:c r="J79" s="23" t="str">
        <x:v>Tue AM</x:v>
      </x:c>
      <x:c r="K79" s="131" t="str"/>
      <x:c r="L79" s="143" t="str"/>
      <x:c r="M79" s="143" t="str"/>
      <x:c r="N79" s="143" t="str"/>
      <x:c r="O79" s="173" t="str"/>
      <x:c r="P79" s="159" t="str">
        <x:f>IF(COUNTIF('Routine &amp; Settings'!$I$5:$I$30,A79)&gt;0,"No",IF(E79="BECM 3204",IF(J79='Routine &amp; Settings'!$B$5,"Yes","No"),IF(E79="BECM 3208",IF(J79='Routine &amp; Settings'!$B$6,"Yes","No"),IF(E79="CE 3224",IF(J79='Routine &amp; Settings'!$B$7,"Yes","No"),IF(E79="BECM 3200",IF('Routine &amp; Settings'!$B$8="Odd Weeks",IF(MOD(C79,2)=1,"Yes","No"),IF(MOD(C79,2)=0,"Yes","No")),"Yes")))))</x:f>
        <x:v>Yes</x:v>
      </x:c>
    </x:row>
    <x:row r="80">
      <x:c r="A80" s="123" t="n">
        <x:v>46294</x:v>
      </x:c>
      <x:c r="B80" s="23" t="str">
        <x:v>Tue</x:v>
      </x:c>
      <x:c r="C80" s="23" t="n">
        <x:v>4</x:v>
      </x:c>
      <x:c r="D80" s="23" t="str">
        <x:v>Regular</x:v>
      </x:c>
      <x:c r="E80" s="23" t="str">
        <x:v>CE 3213</x:v>
      </x:c>
      <x:c r="F80" s="173" t="str">
        <x:v>Reinforced Concrete Structures - II</x:v>
      </x:c>
      <x:c r="G80" s="23" t="str">
        <x:v>11:30 AM–12:20 PM</x:v>
      </x:c>
      <x:c r="H80" s="23" t="str">
        <x:v>MKI</x:v>
      </x:c>
      <x:c r="I80" s="23" t="str">
        <x:v>405</x:v>
      </x:c>
      <x:c r="J80" s="23" t="str">
        <x:v>TUES P5</x:v>
      </x:c>
      <x:c r="K80" s="131" t="str"/>
      <x:c r="L80" s="143" t="str"/>
      <x:c r="M80" s="143" t="str"/>
      <x:c r="N80" s="143" t="str"/>
      <x:c r="O80" s="173" t="str"/>
      <x:c r="P80" s="159" t="str">
        <x:f>IF(COUNTIF('Routine &amp; Settings'!$I$5:$I$30,A80)&gt;0,"No",IF(E80="BECM 3204",IF(J80='Routine &amp; Settings'!$B$5,"Yes","No"),IF(E80="BECM 3208",IF(J80='Routine &amp; Settings'!$B$6,"Yes","No"),IF(E80="CE 3224",IF(J80='Routine &amp; Settings'!$B$7,"Yes","No"),IF(E80="BECM 3200",IF('Routine &amp; Settings'!$B$8="Odd Weeks",IF(MOD(C80,2)=1,"Yes","No"),IF(MOD(C80,2)=0,"Yes","No")),"Yes")))))</x:f>
        <x:v>Yes</x:v>
      </x:c>
    </x:row>
    <x:row r="81">
      <x:c r="A81" s="123" t="n">
        <x:v>46294</x:v>
      </x:c>
      <x:c r="B81" s="23" t="str">
        <x:v>Tue</x:v>
      </x:c>
      <x:c r="C81" s="23" t="n">
        <x:v>4</x:v>
      </x:c>
      <x:c r="D81" s="23" t="str">
        <x:v>Regular</x:v>
      </x:c>
      <x:c r="E81" s="23" t="str">
        <x:v>BECM 3201</x:v>
      </x:c>
      <x:c r="F81" s="173" t="str">
        <x:v>Construction and Project Management - II</x:v>
      </x:c>
      <x:c r="G81" s="23" t="str">
        <x:v>12:20 PM–01:10 PM</x:v>
      </x:c>
      <x:c r="H81" s="23" t="str">
        <x:v>MRA</x:v>
      </x:c>
      <x:c r="I81" s="23" t="str">
        <x:v>405</x:v>
      </x:c>
      <x:c r="J81" s="23" t="str">
        <x:v>TUES P6</x:v>
      </x:c>
      <x:c r="K81" s="131" t="str"/>
      <x:c r="L81" s="143" t="str"/>
      <x:c r="M81" s="143" t="str"/>
      <x:c r="N81" s="143" t="str"/>
      <x:c r="O81" s="173" t="str"/>
      <x:c r="P81" s="159" t="str">
        <x:f>IF(COUNTIF('Routine &amp; Settings'!$I$5:$I$30,A81)&gt;0,"No",IF(E81="BECM 3204",IF(J81='Routine &amp; Settings'!$B$5,"Yes","No"),IF(E81="BECM 3208",IF(J81='Routine &amp; Settings'!$B$6,"Yes","No"),IF(E81="CE 3224",IF(J81='Routine &amp; Settings'!$B$7,"Yes","No"),IF(E81="BECM 3200",IF('Routine &amp; Settings'!$B$8="Odd Weeks",IF(MOD(C81,2)=1,"Yes","No"),IF(MOD(C81,2)=0,"Yes","No")),"Yes")))))</x:f>
        <x:v>Yes</x:v>
      </x:c>
    </x:row>
    <x:row r="82">
      <x:c r="A82" s="123" t="n">
        <x:v>46294</x:v>
      </x:c>
      <x:c r="B82" s="23" t="str">
        <x:v>Tue</x:v>
      </x:c>
      <x:c r="C82" s="23" t="n">
        <x:v>4</x:v>
      </x:c>
      <x:c r="D82" s="23" t="str">
        <x:v>Regular</x:v>
      </x:c>
      <x:c r="E82" s="23" t="str">
        <x:v>BECM 3208</x:v>
      </x:c>
      <x:c r="F82" s="173" t="str">
        <x:v>Landscape Design</x:v>
      </x:c>
      <x:c r="G82" s="23" t="str">
        <x:v>02:30 PM–05:00 PM</x:v>
      </x:c>
      <x:c r="H82" s="23" t="str">
        <x:v>MSH/MSA</x:v>
      </x:c>
      <x:c r="I82" s="23" t="str"/>
      <x:c r="J82" s="23" t="str">
        <x:v>Tue PM</x:v>
      </x:c>
      <x:c r="K82" s="131" t="str"/>
      <x:c r="L82" s="143" t="str"/>
      <x:c r="M82" s="143" t="str"/>
      <x:c r="N82" s="143" t="str"/>
      <x:c r="O82" s="173" t="str"/>
      <x:c r="P82" s="159" t="str">
        <x:f>IF(COUNTIF('Routine &amp; Settings'!$I$5:$I$30,A82)&gt;0,"No",IF(E82="BECM 3204",IF(J82='Routine &amp; Settings'!$B$5,"Yes","No"),IF(E82="BECM 3208",IF(J82='Routine &amp; Settings'!$B$6,"Yes","No"),IF(E82="CE 3224",IF(J82='Routine &amp; Settings'!$B$7,"Yes","No"),IF(E82="BECM 3200",IF('Routine &amp; Settings'!$B$8="Odd Weeks",IF(MOD(C82,2)=1,"Yes","No"),IF(MOD(C82,2)=0,"Yes","No")),"Yes")))))</x:f>
        <x:v>Yes</x:v>
      </x:c>
    </x:row>
    <x:row r="83">
      <x:c r="A83" s="123" t="n">
        <x:v>46295</x:v>
      </x:c>
      <x:c r="B83" s="23" t="str">
        <x:v>Wed</x:v>
      </x:c>
      <x:c r="C83" s="23" t="n">
        <x:v>4</x:v>
      </x:c>
      <x:c r="D83" s="23" t="str">
        <x:v>Regular</x:v>
      </x:c>
      <x:c r="E83" s="23" t="str">
        <x:v>CE 3213</x:v>
      </x:c>
      <x:c r="F83" s="173" t="str">
        <x:v>Reinforced Concrete Structures - II</x:v>
      </x:c>
      <x:c r="G83" s="23" t="str">
        <x:v>09:40 AM–10:30 AM</x:v>
      </x:c>
      <x:c r="H83" s="23" t="str">
        <x:v>HRS/MKI</x:v>
      </x:c>
      <x:c r="I83" s="23" t="str">
        <x:v>501</x:v>
      </x:c>
      <x:c r="J83" s="23" t="str">
        <x:v>WED P3</x:v>
      </x:c>
      <x:c r="K83" s="131" t="str"/>
      <x:c r="L83" s="143" t="str"/>
      <x:c r="M83" s="143" t="str"/>
      <x:c r="N83" s="143" t="str"/>
      <x:c r="O83" s="173" t="str"/>
      <x:c r="P83" s="159" t="str">
        <x:f>IF(COUNTIF('Routine &amp; Settings'!$I$5:$I$30,A83)&gt;0,"No",IF(E83="BECM 3204",IF(J83='Routine &amp; Settings'!$B$5,"Yes","No"),IF(E83="BECM 3208",IF(J83='Routine &amp; Settings'!$B$6,"Yes","No"),IF(E83="CE 3224",IF(J83='Routine &amp; Settings'!$B$7,"Yes","No"),IF(E83="BECM 3200",IF('Routine &amp; Settings'!$B$8="Odd Weeks",IF(MOD(C83,2)=1,"Yes","No"),IF(MOD(C83,2)=0,"Yes","No")),"Yes")))))</x:f>
        <x:v>Yes</x:v>
      </x:c>
    </x:row>
    <x:row r="84">
      <x:c r="A84" s="123" t="n">
        <x:v>46295</x:v>
      </x:c>
      <x:c r="B84" s="23" t="str">
        <x:v>Wed</x:v>
      </x:c>
      <x:c r="C84" s="23" t="n">
        <x:v>4</x:v>
      </x:c>
      <x:c r="D84" s="23" t="str">
        <x:v>Regular</x:v>
      </x:c>
      <x:c r="E84" s="23" t="str">
        <x:v>CE 3211</x:v>
      </x:c>
      <x:c r="F84" s="173" t="str">
        <x:v>Structural Analysis and Design - II</x:v>
      </x:c>
      <x:c r="G84" s="23" t="str">
        <x:v>10:40 AM–11:30 AM</x:v>
      </x:c>
      <x:c r="H84" s="23" t="str">
        <x:v>ATB</x:v>
      </x:c>
      <x:c r="I84" s="23" t="str">
        <x:v>501</x:v>
      </x:c>
      <x:c r="J84" s="23" t="str">
        <x:v>WED P4</x:v>
      </x:c>
      <x:c r="K84" s="131" t="str"/>
      <x:c r="L84" s="143" t="str"/>
      <x:c r="M84" s="143" t="str"/>
      <x:c r="N84" s="143" t="str"/>
      <x:c r="O84" s="173" t="str"/>
      <x:c r="P84" s="159" t="str">
        <x:f>IF(COUNTIF('Routine &amp; Settings'!$I$5:$I$30,A84)&gt;0,"No",IF(E84="BECM 3204",IF(J84='Routine &amp; Settings'!$B$5,"Yes","No"),IF(E84="BECM 3208",IF(J84='Routine &amp; Settings'!$B$6,"Yes","No"),IF(E84="CE 3224",IF(J84='Routine &amp; Settings'!$B$7,"Yes","No"),IF(E84="BECM 3200",IF('Routine &amp; Settings'!$B$8="Odd Weeks",IF(MOD(C84,2)=1,"Yes","No"),IF(MOD(C84,2)=0,"Yes","No")),"Yes")))))</x:f>
        <x:v>Yes</x:v>
      </x:c>
    </x:row>
    <x:row r="85">
      <x:c r="A85" s="123" t="n">
        <x:v>46295</x:v>
      </x:c>
      <x:c r="B85" s="23" t="str">
        <x:v>Wed</x:v>
      </x:c>
      <x:c r="C85" s="23" t="n">
        <x:v>4</x:v>
      </x:c>
      <x:c r="D85" s="23" t="str">
        <x:v>Regular</x:v>
      </x:c>
      <x:c r="E85" s="23" t="str">
        <x:v>CE 3223</x:v>
      </x:c>
      <x:c r="F85" s="173" t="str">
        <x:v>Soil Mechanics</x:v>
      </x:c>
      <x:c r="G85" s="23" t="str">
        <x:v>11:30 AM–12:20 PM</x:v>
      </x:c>
      <x:c r="H85" s="23" t="str">
        <x:v>MHI</x:v>
      </x:c>
      <x:c r="I85" s="23" t="str">
        <x:v>501</x:v>
      </x:c>
      <x:c r="J85" s="23" t="str">
        <x:v>WED P5</x:v>
      </x:c>
      <x:c r="K85" s="131" t="str"/>
      <x:c r="L85" s="143" t="str"/>
      <x:c r="M85" s="143" t="str"/>
      <x:c r="N85" s="143" t="str"/>
      <x:c r="O85" s="173" t="str"/>
      <x:c r="P85" s="159" t="str">
        <x:f>IF(COUNTIF('Routine &amp; Settings'!$I$5:$I$30,A85)&gt;0,"No",IF(E85="BECM 3204",IF(J85='Routine &amp; Settings'!$B$5,"Yes","No"),IF(E85="BECM 3208",IF(J85='Routine &amp; Settings'!$B$6,"Yes","No"),IF(E85="CE 3224",IF(J85='Routine &amp; Settings'!$B$7,"Yes","No"),IF(E85="BECM 3200",IF('Routine &amp; Settings'!$B$8="Odd Weeks",IF(MOD(C85,2)=1,"Yes","No"),IF(MOD(C85,2)=0,"Yes","No")),"Yes")))))</x:f>
        <x:v>Yes</x:v>
      </x:c>
    </x:row>
    <x:row r="86">
      <x:c r="A86" s="123" t="n">
        <x:v>46295</x:v>
      </x:c>
      <x:c r="B86" s="23" t="str">
        <x:v>Wed</x:v>
      </x:c>
      <x:c r="C86" s="23" t="n">
        <x:v>4</x:v>
      </x:c>
      <x:c r="D86" s="23" t="str">
        <x:v>Regular</x:v>
      </x:c>
      <x:c r="E86" s="23" t="str">
        <x:v>BECM 3205</x:v>
      </x:c>
      <x:c r="F86" s="173" t="str">
        <x:v>Acoustics and Lighting</x:v>
      </x:c>
      <x:c r="G86" s="23" t="str">
        <x:v>12:20 PM–01:10 PM</x:v>
      </x:c>
      <x:c r="H86" s="23" t="str">
        <x:v>MSH/AAM</x:v>
      </x:c>
      <x:c r="I86" s="23" t="str">
        <x:v>501</x:v>
      </x:c>
      <x:c r="J86" s="23" t="str">
        <x:v>WED P6</x:v>
      </x:c>
      <x:c r="K86" s="131" t="str"/>
      <x:c r="L86" s="143" t="str"/>
      <x:c r="M86" s="143" t="str"/>
      <x:c r="N86" s="143" t="str"/>
      <x:c r="O86" s="173" t="str"/>
      <x:c r="P86" s="159" t="str">
        <x:f>IF(COUNTIF('Routine &amp; Settings'!$I$5:$I$30,A86)&gt;0,"No",IF(E86="BECM 3204",IF(J86='Routine &amp; Settings'!$B$5,"Yes","No"),IF(E86="BECM 3208",IF(J86='Routine &amp; Settings'!$B$6,"Yes","No"),IF(E86="CE 3224",IF(J86='Routine &amp; Settings'!$B$7,"Yes","No"),IF(E86="BECM 3200",IF('Routine &amp; Settings'!$B$8="Odd Weeks",IF(MOD(C86,2)=1,"Yes","No"),IF(MOD(C86,2)=0,"Yes","No")),"Yes")))))</x:f>
        <x:v>Yes</x:v>
      </x:c>
    </x:row>
    <x:row r="87">
      <x:c r="A87" s="123" t="n">
        <x:v>46295</x:v>
      </x:c>
      <x:c r="B87" s="23" t="str">
        <x:v>Wed</x:v>
      </x:c>
      <x:c r="C87" s="23" t="n">
        <x:v>4</x:v>
      </x:c>
      <x:c r="D87" s="23" t="str">
        <x:v>Regular</x:v>
      </x:c>
      <x:c r="E87" s="23" t="str">
        <x:v>BECM 3208</x:v>
      </x:c>
      <x:c r="F87" s="173" t="str">
        <x:v>Landscape Design</x:v>
      </x:c>
      <x:c r="G87" s="23" t="str">
        <x:v>02:30 PM–05:00 PM</x:v>
      </x:c>
      <x:c r="H87" s="23" t="str">
        <x:v>MSH/MSA</x:v>
      </x:c>
      <x:c r="I87" s="23" t="str">
        <x:v>501</x:v>
      </x:c>
      <x:c r="J87" s="23" t="str">
        <x:v>Wed PM</x:v>
      </x:c>
      <x:c r="K87" s="131" t="str"/>
      <x:c r="L87" s="143" t="str"/>
      <x:c r="M87" s="143" t="str"/>
      <x:c r="N87" s="143" t="str"/>
      <x:c r="O87" s="173" t="str"/>
      <x:c r="P87" s="159" t="str">
        <x:f>IF(COUNTIF('Routine &amp; Settings'!$I$5:$I$30,A87)&gt;0,"No",IF(E87="BECM 3204",IF(J87='Routine &amp; Settings'!$B$5,"Yes","No"),IF(E87="BECM 3208",IF(J87='Routine &amp; Settings'!$B$6,"Yes","No"),IF(E87="CE 3224",IF(J87='Routine &amp; Settings'!$B$7,"Yes","No"),IF(E87="BECM 3200",IF('Routine &amp; Settings'!$B$8="Odd Weeks",IF(MOD(C87,2)=1,"Yes","No"),IF(MOD(C87,2)=0,"Yes","No")),"Yes")))))</x:f>
        <x:v>No</x:v>
      </x:c>
    </x:row>
    <x:row r="88">
      <x:c r="A88" s="123" t="n">
        <x:v>46296</x:v>
      </x:c>
      <x:c r="B88" s="23" t="str">
        <x:v>Thu</x:v>
      </x:c>
      <x:c r="C88" s="23" t="n">
        <x:v>4</x:v>
      </x:c>
      <x:c r="D88" s="23" t="str">
        <x:v>Regular</x:v>
      </x:c>
      <x:c r="E88" s="23" t="str">
        <x:v>BECM 3204</x:v>
      </x:c>
      <x:c r="F88" s="173" t="str">
        <x:v>Construction Techniques and Equipments - II</x:v>
      </x:c>
      <x:c r="G88" s="23" t="str">
        <x:v>08:00 AM–10:30 AM</x:v>
      </x:c>
      <x:c r="H88" s="23" t="str">
        <x:v>HRS/MR</x:v>
      </x:c>
      <x:c r="I88" s="23" t="str"/>
      <x:c r="J88" s="23" t="str">
        <x:v>Thu AM</x:v>
      </x:c>
      <x:c r="K88" s="131" t="str"/>
      <x:c r="L88" s="143" t="str"/>
      <x:c r="M88" s="143" t="str"/>
      <x:c r="N88" s="143" t="str"/>
      <x:c r="O88" s="173" t="str"/>
      <x:c r="P88" s="159" t="str">
        <x:f>IF(COUNTIF('Routine &amp; Settings'!$I$5:$I$30,A88)&gt;0,"No",IF(E88="BECM 3204",IF(J88='Routine &amp; Settings'!$B$5,"Yes","No"),IF(E88="BECM 3208",IF(J88='Routine &amp; Settings'!$B$6,"Yes","No"),IF(E88="CE 3224",IF(J88='Routine &amp; Settings'!$B$7,"Yes","No"),IF(E88="BECM 3200",IF('Routine &amp; Settings'!$B$8="Odd Weeks",IF(MOD(C88,2)=1,"Yes","No"),IF(MOD(C88,2)=0,"Yes","No")),"Yes")))))</x:f>
        <x:v>No</x:v>
      </x:c>
    </x:row>
    <x:row r="89">
      <x:c r="A89" s="123" t="n">
        <x:v>46296</x:v>
      </x:c>
      <x:c r="B89" s="23" t="str">
        <x:v>Thu</x:v>
      </x:c>
      <x:c r="C89" s="23" t="n">
        <x:v>4</x:v>
      </x:c>
      <x:c r="D89" s="23" t="str">
        <x:v>Regular</x:v>
      </x:c>
      <x:c r="E89" s="23" t="str">
        <x:v>BECM 3205</x:v>
      </x:c>
      <x:c r="F89" s="173" t="str">
        <x:v>Acoustics and Lighting</x:v>
      </x:c>
      <x:c r="G89" s="23" t="str">
        <x:v>10:40 AM–11:30 AM</x:v>
      </x:c>
      <x:c r="H89" s="23" t="str">
        <x:v>MSH</x:v>
      </x:c>
      <x:c r="I89" s="23" t="str">
        <x:v>406</x:v>
      </x:c>
      <x:c r="J89" s="23" t="str">
        <x:v>THURS P4</x:v>
      </x:c>
      <x:c r="K89" s="131" t="str"/>
      <x:c r="L89" s="143" t="str"/>
      <x:c r="M89" s="143" t="str"/>
      <x:c r="N89" s="143" t="str"/>
      <x:c r="O89" s="173" t="str"/>
      <x:c r="P89" s="159" t="str">
        <x:f>IF(COUNTIF('Routine &amp; Settings'!$I$5:$I$30,A89)&gt;0,"No",IF(E89="BECM 3204",IF(J89='Routine &amp; Settings'!$B$5,"Yes","No"),IF(E89="BECM 3208",IF(J89='Routine &amp; Settings'!$B$6,"Yes","No"),IF(E89="CE 3224",IF(J89='Routine &amp; Settings'!$B$7,"Yes","No"),IF(E89="BECM 3200",IF('Routine &amp; Settings'!$B$8="Odd Weeks",IF(MOD(C89,2)=1,"Yes","No"),IF(MOD(C89,2)=0,"Yes","No")),"Yes")))))</x:f>
        <x:v>Yes</x:v>
      </x:c>
    </x:row>
    <x:row r="90">
      <x:c r="A90" s="123" t="n">
        <x:v>46296</x:v>
      </x:c>
      <x:c r="B90" s="23" t="str">
        <x:v>Thu</x:v>
      </x:c>
      <x:c r="C90" s="23" t="n">
        <x:v>4</x:v>
      </x:c>
      <x:c r="D90" s="23" t="str">
        <x:v>Regular</x:v>
      </x:c>
      <x:c r="E90" s="23" t="str">
        <x:v>CE 3211</x:v>
      </x:c>
      <x:c r="F90" s="173" t="str">
        <x:v>Structural Analysis and Design - II</x:v>
      </x:c>
      <x:c r="G90" s="23" t="str">
        <x:v>11:30 AM–12:20 PM</x:v>
      </x:c>
      <x:c r="H90" s="23" t="str">
        <x:v>MKI/ATB</x:v>
      </x:c>
      <x:c r="I90" s="23" t="str">
        <x:v>406</x:v>
      </x:c>
      <x:c r="J90" s="23" t="str">
        <x:v>THURS P5</x:v>
      </x:c>
      <x:c r="K90" s="131" t="str"/>
      <x:c r="L90" s="143" t="str"/>
      <x:c r="M90" s="143" t="str"/>
      <x:c r="N90" s="143" t="str"/>
      <x:c r="O90" s="173" t="str"/>
      <x:c r="P90" s="159" t="str">
        <x:f>IF(COUNTIF('Routine &amp; Settings'!$I$5:$I$30,A90)&gt;0,"No",IF(E90="BECM 3204",IF(J90='Routine &amp; Settings'!$B$5,"Yes","No"),IF(E90="BECM 3208",IF(J90='Routine &amp; Settings'!$B$6,"Yes","No"),IF(E90="CE 3224",IF(J90='Routine &amp; Settings'!$B$7,"Yes","No"),IF(E90="BECM 3200",IF('Routine &amp; Settings'!$B$8="Odd Weeks",IF(MOD(C90,2)=1,"Yes","No"),IF(MOD(C90,2)=0,"Yes","No")),"Yes")))))</x:f>
        <x:v>Yes</x:v>
      </x:c>
    </x:row>
    <x:row r="91">
      <x:c r="A91" s="123" t="n">
        <x:v>46296</x:v>
      </x:c>
      <x:c r="B91" s="23" t="str">
        <x:v>Thu</x:v>
      </x:c>
      <x:c r="C91" s="23" t="n">
        <x:v>4</x:v>
      </x:c>
      <x:c r="D91" s="23" t="str">
        <x:v>Regular</x:v>
      </x:c>
      <x:c r="E91" s="23" t="str">
        <x:v>BECM 3201</x:v>
      </x:c>
      <x:c r="F91" s="173" t="str">
        <x:v>Construction and Project Management - II</x:v>
      </x:c>
      <x:c r="G91" s="23" t="str">
        <x:v>12:20 PM–01:10 PM</x:v>
      </x:c>
      <x:c r="H91" s="23" t="str">
        <x:v>MR/MRA</x:v>
      </x:c>
      <x:c r="I91" s="23" t="str">
        <x:v>406</x:v>
      </x:c>
      <x:c r="J91" s="23" t="str">
        <x:v>THURS P6</x:v>
      </x:c>
      <x:c r="K91" s="131" t="str"/>
      <x:c r="L91" s="143" t="str"/>
      <x:c r="M91" s="143" t="str"/>
      <x:c r="N91" s="143" t="str"/>
      <x:c r="O91" s="173" t="str"/>
      <x:c r="P91" s="159" t="str">
        <x:f>IF(COUNTIF('Routine &amp; Settings'!$I$5:$I$30,A91)&gt;0,"No",IF(E91="BECM 3204",IF(J91='Routine &amp; Settings'!$B$5,"Yes","No"),IF(E91="BECM 3208",IF(J91='Routine &amp; Settings'!$B$6,"Yes","No"),IF(E91="CE 3224",IF(J91='Routine &amp; Settings'!$B$7,"Yes","No"),IF(E91="BECM 3200",IF('Routine &amp; Settings'!$B$8="Odd Weeks",IF(MOD(C91,2)=1,"Yes","No"),IF(MOD(C91,2)=0,"Yes","No")),"Yes")))))</x:f>
        <x:v>Yes</x:v>
      </x:c>
    </x:row>
    <x:row r="92">
      <x:c r="A92" s="123" t="n">
        <x:v>46296</x:v>
      </x:c>
      <x:c r="B92" s="23" t="str">
        <x:v>Thu</x:v>
      </x:c>
      <x:c r="C92" s="23" t="n">
        <x:v>4</x:v>
      </x:c>
      <x:c r="D92" s="23" t="str">
        <x:v>Regular</x:v>
      </x:c>
      <x:c r="E92" s="23" t="str">
        <x:v>CE 3224</x:v>
      </x:c>
      <x:c r="F92" s="173" t="str">
        <x:v>Sessional on Soil Mechanics</x:v>
      </x:c>
      <x:c r="G92" s="23" t="str">
        <x:v>02:30 PM–05:00 PM</x:v>
      </x:c>
      <x:c r="H92" s="23" t="str">
        <x:v>MHI/MRA</x:v>
      </x:c>
      <x:c r="I92" s="23" t="str">
        <x:v>405</x:v>
      </x:c>
      <x:c r="J92" s="23" t="str">
        <x:v>Thu PM</x:v>
      </x:c>
      <x:c r="K92" s="131" t="str"/>
      <x:c r="L92" s="143" t="str"/>
      <x:c r="M92" s="143" t="str"/>
      <x:c r="N92" s="143" t="str"/>
      <x:c r="O92" s="173" t="str"/>
      <x:c r="P92" s="159" t="str">
        <x:f>IF(COUNTIF('Routine &amp; Settings'!$I$5:$I$30,A92)&gt;0,"No",IF(E92="BECM 3204",IF(J92='Routine &amp; Settings'!$B$5,"Yes","No"),IF(E92="BECM 3208",IF(J92='Routine &amp; Settings'!$B$6,"Yes","No"),IF(E92="CE 3224",IF(J92='Routine &amp; Settings'!$B$7,"Yes","No"),IF(E92="BECM 3200",IF('Routine &amp; Settings'!$B$8="Odd Weeks",IF(MOD(C92,2)=1,"Yes","No"),IF(MOD(C92,2)=0,"Yes","No")),"Yes")))))</x:f>
        <x:v>No</x:v>
      </x:c>
    </x:row>
    <x:row r="93">
      <x:c r="A93" s="123" t="n">
        <x:v>46299</x:v>
      </x:c>
      <x:c r="B93" s="23" t="str">
        <x:v>Sun</x:v>
      </x:c>
      <x:c r="C93" s="23" t="n">
        <x:v>5</x:v>
      </x:c>
      <x:c r="D93" s="23" t="str">
        <x:v>Regular</x:v>
      </x:c>
      <x:c r="E93" s="23" t="str">
        <x:v>CE 3213</x:v>
      </x:c>
      <x:c r="F93" s="173" t="str">
        <x:v>Reinforced Concrete Structures - II</x:v>
      </x:c>
      <x:c r="G93" s="23" t="str">
        <x:v>10:40 AM–11:30 AM</x:v>
      </x:c>
      <x:c r="H93" s="23" t="str">
        <x:v>HRS</x:v>
      </x:c>
      <x:c r="I93" s="23" t="str">
        <x:v>501</x:v>
      </x:c>
      <x:c r="J93" s="23" t="str">
        <x:v>SUN P4</x:v>
      </x:c>
      <x:c r="K93" s="131" t="str"/>
      <x:c r="L93" s="143" t="str"/>
      <x:c r="M93" s="143" t="str"/>
      <x:c r="N93" s="143" t="str"/>
      <x:c r="O93" s="173" t="str"/>
      <x:c r="P93" s="159" t="str">
        <x:f>IF(COUNTIF('Routine &amp; Settings'!$I$5:$I$30,A93)&gt;0,"No",IF(E93="BECM 3204",IF(J93='Routine &amp; Settings'!$B$5,"Yes","No"),IF(E93="BECM 3208",IF(J93='Routine &amp; Settings'!$B$6,"Yes","No"),IF(E93="CE 3224",IF(J93='Routine &amp; Settings'!$B$7,"Yes","No"),IF(E93="BECM 3200",IF('Routine &amp; Settings'!$B$8="Odd Weeks",IF(MOD(C93,2)=1,"Yes","No"),IF(MOD(C93,2)=0,"Yes","No")),"Yes")))))</x:f>
        <x:v>Yes</x:v>
      </x:c>
    </x:row>
    <x:row r="94">
      <x:c r="A94" s="123" t="n">
        <x:v>46299</x:v>
      </x:c>
      <x:c r="B94" s="23" t="str">
        <x:v>Sun</x:v>
      </x:c>
      <x:c r="C94" s="23" t="n">
        <x:v>5</x:v>
      </x:c>
      <x:c r="D94" s="23" t="str">
        <x:v>Regular</x:v>
      </x:c>
      <x:c r="E94" s="23" t="str">
        <x:v>CE 3223</x:v>
      </x:c>
      <x:c r="F94" s="173" t="str">
        <x:v>Soil Mechanics</x:v>
      </x:c>
      <x:c r="G94" s="23" t="str">
        <x:v>11:30 AM–12:20 PM</x:v>
      </x:c>
      <x:c r="H94" s="23" t="str">
        <x:v>MSA</x:v>
      </x:c>
      <x:c r="I94" s="23" t="str">
        <x:v>501</x:v>
      </x:c>
      <x:c r="J94" s="23" t="str">
        <x:v>SUN P5</x:v>
      </x:c>
      <x:c r="K94" s="131" t="str"/>
      <x:c r="L94" s="143" t="str"/>
      <x:c r="M94" s="143" t="str"/>
      <x:c r="N94" s="143" t="str"/>
      <x:c r="O94" s="173" t="str"/>
      <x:c r="P94" s="159" t="str">
        <x:f>IF(COUNTIF('Routine &amp; Settings'!$I$5:$I$30,A94)&gt;0,"No",IF(E94="BECM 3204",IF(J94='Routine &amp; Settings'!$B$5,"Yes","No"),IF(E94="BECM 3208",IF(J94='Routine &amp; Settings'!$B$6,"Yes","No"),IF(E94="CE 3224",IF(J94='Routine &amp; Settings'!$B$7,"Yes","No"),IF(E94="BECM 3200",IF('Routine &amp; Settings'!$B$8="Odd Weeks",IF(MOD(C94,2)=1,"Yes","No"),IF(MOD(C94,2)=0,"Yes","No")),"Yes")))))</x:f>
        <x:v>Yes</x:v>
      </x:c>
    </x:row>
    <x:row r="95">
      <x:c r="A95" s="123" t="n">
        <x:v>46299</x:v>
      </x:c>
      <x:c r="B95" s="23" t="str">
        <x:v>Sun</x:v>
      </x:c>
      <x:c r="C95" s="23" t="n">
        <x:v>5</x:v>
      </x:c>
      <x:c r="D95" s="23" t="str">
        <x:v>Regular</x:v>
      </x:c>
      <x:c r="E95" s="23" t="str">
        <x:v>CE 3211</x:v>
      </x:c>
      <x:c r="F95" s="173" t="str">
        <x:v>Structural Analysis and Design - II</x:v>
      </x:c>
      <x:c r="G95" s="23" t="str">
        <x:v>12:20 PM–01:10 PM</x:v>
      </x:c>
      <x:c r="H95" s="23" t="str">
        <x:v>MKI</x:v>
      </x:c>
      <x:c r="I95" s="23" t="str">
        <x:v>501</x:v>
      </x:c>
      <x:c r="J95" s="23" t="str">
        <x:v>SUN P6</x:v>
      </x:c>
      <x:c r="K95" s="131" t="str"/>
      <x:c r="L95" s="143" t="str"/>
      <x:c r="M95" s="143" t="str"/>
      <x:c r="N95" s="143" t="str"/>
      <x:c r="O95" s="173" t="str"/>
      <x:c r="P95" s="159" t="str">
        <x:f>IF(COUNTIF('Routine &amp; Settings'!$I$5:$I$30,A95)&gt;0,"No",IF(E95="BECM 3204",IF(J95='Routine &amp; Settings'!$B$5,"Yes","No"),IF(E95="BECM 3208",IF(J95='Routine &amp; Settings'!$B$6,"Yes","No"),IF(E95="CE 3224",IF(J95='Routine &amp; Settings'!$B$7,"Yes","No"),IF(E95="BECM 3200",IF('Routine &amp; Settings'!$B$8="Odd Weeks",IF(MOD(C95,2)=1,"Yes","No"),IF(MOD(C95,2)=0,"Yes","No")),"Yes")))))</x:f>
        <x:v>Yes</x:v>
      </x:c>
    </x:row>
    <x:row r="96">
      <x:c r="A96" s="123" t="n">
        <x:v>46299</x:v>
      </x:c>
      <x:c r="B96" s="23" t="str">
        <x:v>Sun</x:v>
      </x:c>
      <x:c r="C96" s="23" t="n">
        <x:v>5</x:v>
      </x:c>
      <x:c r="D96" s="23" t="str">
        <x:v>Regular</x:v>
      </x:c>
      <x:c r="E96" s="23" t="str">
        <x:v>BECM 3204</x:v>
      </x:c>
      <x:c r="F96" s="173" t="str">
        <x:v>Construction Techniques and Equipments - II</x:v>
      </x:c>
      <x:c r="G96" s="23" t="str">
        <x:v>02:30 PM–05:00 PM</x:v>
      </x:c>
      <x:c r="H96" s="23" t="str">
        <x:v>HRS/MR</x:v>
      </x:c>
      <x:c r="I96" s="23" t="str">
        <x:v>404</x:v>
      </x:c>
      <x:c r="J96" s="23" t="str">
        <x:v>Sun PM</x:v>
      </x:c>
      <x:c r="K96" s="131" t="str"/>
      <x:c r="L96" s="143" t="str"/>
      <x:c r="M96" s="143" t="str"/>
      <x:c r="N96" s="143" t="str"/>
      <x:c r="O96" s="173" t="str"/>
      <x:c r="P96" s="159" t="str">
        <x:f>IF(COUNTIF('Routine &amp; Settings'!$I$5:$I$30,A96)&gt;0,"No",IF(E96="BECM 3204",IF(J96='Routine &amp; Settings'!$B$5,"Yes","No"),IF(E96="BECM 3208",IF(J96='Routine &amp; Settings'!$B$6,"Yes","No"),IF(E96="CE 3224",IF(J96='Routine &amp; Settings'!$B$7,"Yes","No"),IF(E96="BECM 3200",IF('Routine &amp; Settings'!$B$8="Odd Weeks",IF(MOD(C96,2)=1,"Yes","No"),IF(MOD(C96,2)=0,"Yes","No")),"Yes")))))</x:f>
        <x:v>Yes</x:v>
      </x:c>
    </x:row>
    <x:row r="97">
      <x:c r="A97" s="123" t="n">
        <x:v>46300</x:v>
      </x:c>
      <x:c r="B97" s="23" t="str">
        <x:v>Mon</x:v>
      </x:c>
      <x:c r="C97" s="23" t="n">
        <x:v>5</x:v>
      </x:c>
      <x:c r="D97" s="23" t="str">
        <x:v>Regular</x:v>
      </x:c>
      <x:c r="E97" s="23" t="str">
        <x:v>CE 3223</x:v>
      </x:c>
      <x:c r="F97" s="173" t="str">
        <x:v>Soil Mechanics</x:v>
      </x:c>
      <x:c r="G97" s="23" t="str">
        <x:v>09:40 AM–10:30 AM</x:v>
      </x:c>
      <x:c r="H97" s="23" t="str">
        <x:v>MHI/MSA</x:v>
      </x:c>
      <x:c r="I97" s="23" t="str">
        <x:v>404</x:v>
      </x:c>
      <x:c r="J97" s="23" t="str">
        <x:v>MON P3</x:v>
      </x:c>
      <x:c r="K97" s="131" t="str"/>
      <x:c r="L97" s="143" t="str"/>
      <x:c r="M97" s="143" t="str"/>
      <x:c r="N97" s="143" t="str"/>
      <x:c r="O97" s="173" t="str"/>
      <x:c r="P97" s="159" t="str">
        <x:f>IF(COUNTIF('Routine &amp; Settings'!$I$5:$I$30,A97)&gt;0,"No",IF(E97="BECM 3204",IF(J97='Routine &amp; Settings'!$B$5,"Yes","No"),IF(E97="BECM 3208",IF(J97='Routine &amp; Settings'!$B$6,"Yes","No"),IF(E97="CE 3224",IF(J97='Routine &amp; Settings'!$B$7,"Yes","No"),IF(E97="BECM 3200",IF('Routine &amp; Settings'!$B$8="Odd Weeks",IF(MOD(C97,2)=1,"Yes","No"),IF(MOD(C97,2)=0,"Yes","No")),"Yes")))))</x:f>
        <x:v>Yes</x:v>
      </x:c>
    </x:row>
    <x:row r="98">
      <x:c r="A98" s="123" t="n">
        <x:v>46300</x:v>
      </x:c>
      <x:c r="B98" s="23" t="str">
        <x:v>Mon</x:v>
      </x:c>
      <x:c r="C98" s="23" t="n">
        <x:v>5</x:v>
      </x:c>
      <x:c r="D98" s="23" t="str">
        <x:v>Regular</x:v>
      </x:c>
      <x:c r="E98" s="23" t="str">
        <x:v>BECM 3201</x:v>
      </x:c>
      <x:c r="F98" s="173" t="str">
        <x:v>Construction and Project Management - II</x:v>
      </x:c>
      <x:c r="G98" s="23" t="str">
        <x:v>11:30 AM–12:20 PM</x:v>
      </x:c>
      <x:c r="H98" s="23" t="str">
        <x:v>MR</x:v>
      </x:c>
      <x:c r="I98" s="23" t="str">
        <x:v>405</x:v>
      </x:c>
      <x:c r="J98" s="23" t="str">
        <x:v>MON P5</x:v>
      </x:c>
      <x:c r="K98" s="131" t="str"/>
      <x:c r="L98" s="143" t="str"/>
      <x:c r="M98" s="143" t="str"/>
      <x:c r="N98" s="143" t="str"/>
      <x:c r="O98" s="173" t="str"/>
      <x:c r="P98" s="159" t="str">
        <x:f>IF(COUNTIF('Routine &amp; Settings'!$I$5:$I$30,A98)&gt;0,"No",IF(E98="BECM 3204",IF(J98='Routine &amp; Settings'!$B$5,"Yes","No"),IF(E98="BECM 3208",IF(J98='Routine &amp; Settings'!$B$6,"Yes","No"),IF(E98="CE 3224",IF(J98='Routine &amp; Settings'!$B$7,"Yes","No"),IF(E98="BECM 3200",IF('Routine &amp; Settings'!$B$8="Odd Weeks",IF(MOD(C98,2)=1,"Yes","No"),IF(MOD(C98,2)=0,"Yes","No")),"Yes")))))</x:f>
        <x:v>Yes</x:v>
      </x:c>
    </x:row>
    <x:row r="99">
      <x:c r="A99" s="123" t="n">
        <x:v>46300</x:v>
      </x:c>
      <x:c r="B99" s="23" t="str">
        <x:v>Mon</x:v>
      </x:c>
      <x:c r="C99" s="23" t="n">
        <x:v>5</x:v>
      </x:c>
      <x:c r="D99" s="23" t="str">
        <x:v>Regular</x:v>
      </x:c>
      <x:c r="E99" s="23" t="str">
        <x:v>BECM 3205</x:v>
      </x:c>
      <x:c r="F99" s="173" t="str">
        <x:v>Acoustics and Lighting</x:v>
      </x:c>
      <x:c r="G99" s="23" t="str">
        <x:v>12:20 PM–01:10 PM</x:v>
      </x:c>
      <x:c r="H99" s="23" t="str">
        <x:v>AAM</x:v>
      </x:c>
      <x:c r="I99" s="23" t="str">
        <x:v>405</x:v>
      </x:c>
      <x:c r="J99" s="23" t="str">
        <x:v>MON P6</x:v>
      </x:c>
      <x:c r="K99" s="131" t="str"/>
      <x:c r="L99" s="143" t="str"/>
      <x:c r="M99" s="143" t="str"/>
      <x:c r="N99" s="143" t="str"/>
      <x:c r="O99" s="173" t="str"/>
      <x:c r="P99" s="159" t="str">
        <x:f>IF(COUNTIF('Routine &amp; Settings'!$I$5:$I$30,A99)&gt;0,"No",IF(E99="BECM 3204",IF(J99='Routine &amp; Settings'!$B$5,"Yes","No"),IF(E99="BECM 3208",IF(J99='Routine &amp; Settings'!$B$6,"Yes","No"),IF(E99="CE 3224",IF(J99='Routine &amp; Settings'!$B$7,"Yes","No"),IF(E99="BECM 3200",IF('Routine &amp; Settings'!$B$8="Odd Weeks",IF(MOD(C99,2)=1,"Yes","No"),IF(MOD(C99,2)=0,"Yes","No")),"Yes")))))</x:f>
        <x:v>Yes</x:v>
      </x:c>
    </x:row>
    <x:row r="100">
      <x:c r="A100" s="123" t="n">
        <x:v>46300</x:v>
      </x:c>
      <x:c r="B100" s="23" t="str">
        <x:v>Mon</x:v>
      </x:c>
      <x:c r="C100" s="23" t="n">
        <x:v>5</x:v>
      </x:c>
      <x:c r="D100" s="23" t="str">
        <x:v>Regular</x:v>
      </x:c>
      <x:c r="E100" s="23" t="str">
        <x:v>BECM 3200</x:v>
      </x:c>
      <x:c r="F100" s="173" t="str">
        <x:v>Project and Seminar</x:v>
      </x:c>
      <x:c r="G100" s="23" t="str">
        <x:v>02:30 PM–05:00 PM</x:v>
      </x:c>
      <x:c r="H100" s="23" t="str">
        <x:v>ALL</x:v>
      </x:c>
      <x:c r="I100" s="23" t="str"/>
      <x:c r="J100" s="23" t="str">
        <x:v>Mon PM</x:v>
      </x:c>
      <x:c r="K100" s="131" t="str"/>
      <x:c r="L100" s="143" t="str"/>
      <x:c r="M100" s="143" t="str"/>
      <x:c r="N100" s="143" t="str"/>
      <x:c r="O100" s="173" t="str"/>
      <x:c r="P100" s="159" t="str">
        <x:f>IF(COUNTIF('Routine &amp; Settings'!$I$5:$I$30,A100)&gt;0,"No",IF(E100="BECM 3204",IF(J100='Routine &amp; Settings'!$B$5,"Yes","No"),IF(E100="BECM 3208",IF(J100='Routine &amp; Settings'!$B$6,"Yes","No"),IF(E100="CE 3224",IF(J100='Routine &amp; Settings'!$B$7,"Yes","No"),IF(E100="BECM 3200",IF('Routine &amp; Settings'!$B$8="Odd Weeks",IF(MOD(C100,2)=1,"Yes","No"),IF(MOD(C100,2)=0,"Yes","No")),"Yes")))))</x:f>
        <x:v>Yes</x:v>
      </x:c>
    </x:row>
    <x:row r="101">
      <x:c r="A101" s="123" t="n">
        <x:v>46301</x:v>
      </x:c>
      <x:c r="B101" s="23" t="str">
        <x:v>Tue</x:v>
      </x:c>
      <x:c r="C101" s="23" t="n">
        <x:v>5</x:v>
      </x:c>
      <x:c r="D101" s="23" t="str">
        <x:v>Regular</x:v>
      </x:c>
      <x:c r="E101" s="23" t="str">
        <x:v>CE 3224</x:v>
      </x:c>
      <x:c r="F101" s="173" t="str">
        <x:v>Sessional on Soil Mechanics</x:v>
      </x:c>
      <x:c r="G101" s="23" t="str">
        <x:v>08:00 AM–10:30 AM</x:v>
      </x:c>
      <x:c r="H101" s="23" t="str">
        <x:v>MHI/MRA</x:v>
      </x:c>
      <x:c r="I101" s="23" t="str"/>
      <x:c r="J101" s="23" t="str">
        <x:v>Tue AM</x:v>
      </x:c>
      <x:c r="K101" s="131" t="str"/>
      <x:c r="L101" s="143" t="str"/>
      <x:c r="M101" s="143" t="str"/>
      <x:c r="N101" s="143" t="str"/>
      <x:c r="O101" s="173" t="str"/>
      <x:c r="P101" s="159" t="str">
        <x:f>IF(COUNTIF('Routine &amp; Settings'!$I$5:$I$30,A101)&gt;0,"No",IF(E101="BECM 3204",IF(J101='Routine &amp; Settings'!$B$5,"Yes","No"),IF(E101="BECM 3208",IF(J101='Routine &amp; Settings'!$B$6,"Yes","No"),IF(E101="CE 3224",IF(J101='Routine &amp; Settings'!$B$7,"Yes","No"),IF(E101="BECM 3200",IF('Routine &amp; Settings'!$B$8="Odd Weeks",IF(MOD(C101,2)=1,"Yes","No"),IF(MOD(C101,2)=0,"Yes","No")),"Yes")))))</x:f>
        <x:v>Yes</x:v>
      </x:c>
    </x:row>
    <x:row r="102">
      <x:c r="A102" s="123" t="n">
        <x:v>46301</x:v>
      </x:c>
      <x:c r="B102" s="23" t="str">
        <x:v>Tue</x:v>
      </x:c>
      <x:c r="C102" s="23" t="n">
        <x:v>5</x:v>
      </x:c>
      <x:c r="D102" s="23" t="str">
        <x:v>Regular</x:v>
      </x:c>
      <x:c r="E102" s="23" t="str">
        <x:v>CE 3213</x:v>
      </x:c>
      <x:c r="F102" s="173" t="str">
        <x:v>Reinforced Concrete Structures - II</x:v>
      </x:c>
      <x:c r="G102" s="23" t="str">
        <x:v>11:30 AM–12:20 PM</x:v>
      </x:c>
      <x:c r="H102" s="23" t="str">
        <x:v>MKI</x:v>
      </x:c>
      <x:c r="I102" s="23" t="str">
        <x:v>405</x:v>
      </x:c>
      <x:c r="J102" s="23" t="str">
        <x:v>TUES P5</x:v>
      </x:c>
      <x:c r="K102" s="131" t="str"/>
      <x:c r="L102" s="143" t="str"/>
      <x:c r="M102" s="143" t="str"/>
      <x:c r="N102" s="143" t="str"/>
      <x:c r="O102" s="173" t="str"/>
      <x:c r="P102" s="159" t="str">
        <x:f>IF(COUNTIF('Routine &amp; Settings'!$I$5:$I$30,A102)&gt;0,"No",IF(E102="BECM 3204",IF(J102='Routine &amp; Settings'!$B$5,"Yes","No"),IF(E102="BECM 3208",IF(J102='Routine &amp; Settings'!$B$6,"Yes","No"),IF(E102="CE 3224",IF(J102='Routine &amp; Settings'!$B$7,"Yes","No"),IF(E102="BECM 3200",IF('Routine &amp; Settings'!$B$8="Odd Weeks",IF(MOD(C102,2)=1,"Yes","No"),IF(MOD(C102,2)=0,"Yes","No")),"Yes")))))</x:f>
        <x:v>Yes</x:v>
      </x:c>
    </x:row>
    <x:row r="103">
      <x:c r="A103" s="123" t="n">
        <x:v>46301</x:v>
      </x:c>
      <x:c r="B103" s="23" t="str">
        <x:v>Tue</x:v>
      </x:c>
      <x:c r="C103" s="23" t="n">
        <x:v>5</x:v>
      </x:c>
      <x:c r="D103" s="23" t="str">
        <x:v>Regular</x:v>
      </x:c>
      <x:c r="E103" s="23" t="str">
        <x:v>BECM 3201</x:v>
      </x:c>
      <x:c r="F103" s="173" t="str">
        <x:v>Construction and Project Management - II</x:v>
      </x:c>
      <x:c r="G103" s="23" t="str">
        <x:v>12:20 PM–01:10 PM</x:v>
      </x:c>
      <x:c r="H103" s="23" t="str">
        <x:v>MRA</x:v>
      </x:c>
      <x:c r="I103" s="23" t="str">
        <x:v>405</x:v>
      </x:c>
      <x:c r="J103" s="23" t="str">
        <x:v>TUES P6</x:v>
      </x:c>
      <x:c r="K103" s="131" t="str"/>
      <x:c r="L103" s="143" t="str"/>
      <x:c r="M103" s="143" t="str"/>
      <x:c r="N103" s="143" t="str"/>
      <x:c r="O103" s="173" t="str"/>
      <x:c r="P103" s="159" t="str">
        <x:f>IF(COUNTIF('Routine &amp; Settings'!$I$5:$I$30,A103)&gt;0,"No",IF(E103="BECM 3204",IF(J103='Routine &amp; Settings'!$B$5,"Yes","No"),IF(E103="BECM 3208",IF(J103='Routine &amp; Settings'!$B$6,"Yes","No"),IF(E103="CE 3224",IF(J103='Routine &amp; Settings'!$B$7,"Yes","No"),IF(E103="BECM 3200",IF('Routine &amp; Settings'!$B$8="Odd Weeks",IF(MOD(C103,2)=1,"Yes","No"),IF(MOD(C103,2)=0,"Yes","No")),"Yes")))))</x:f>
        <x:v>Yes</x:v>
      </x:c>
    </x:row>
    <x:row r="104">
      <x:c r="A104" s="123" t="n">
        <x:v>46301</x:v>
      </x:c>
      <x:c r="B104" s="23" t="str">
        <x:v>Tue</x:v>
      </x:c>
      <x:c r="C104" s="23" t="n">
        <x:v>5</x:v>
      </x:c>
      <x:c r="D104" s="23" t="str">
        <x:v>Regular</x:v>
      </x:c>
      <x:c r="E104" s="23" t="str">
        <x:v>BECM 3208</x:v>
      </x:c>
      <x:c r="F104" s="173" t="str">
        <x:v>Landscape Design</x:v>
      </x:c>
      <x:c r="G104" s="23" t="str">
        <x:v>02:30 PM–05:00 PM</x:v>
      </x:c>
      <x:c r="H104" s="23" t="str">
        <x:v>MSH/MSA</x:v>
      </x:c>
      <x:c r="I104" s="23" t="str"/>
      <x:c r="J104" s="23" t="str">
        <x:v>Tue PM</x:v>
      </x:c>
      <x:c r="K104" s="131" t="str"/>
      <x:c r="L104" s="143" t="str"/>
      <x:c r="M104" s="143" t="str"/>
      <x:c r="N104" s="143" t="str"/>
      <x:c r="O104" s="173" t="str"/>
      <x:c r="P104" s="159" t="str">
        <x:f>IF(COUNTIF('Routine &amp; Settings'!$I$5:$I$30,A104)&gt;0,"No",IF(E104="BECM 3204",IF(J104='Routine &amp; Settings'!$B$5,"Yes","No"),IF(E104="BECM 3208",IF(J104='Routine &amp; Settings'!$B$6,"Yes","No"),IF(E104="CE 3224",IF(J104='Routine &amp; Settings'!$B$7,"Yes","No"),IF(E104="BECM 3200",IF('Routine &amp; Settings'!$B$8="Odd Weeks",IF(MOD(C104,2)=1,"Yes","No"),IF(MOD(C104,2)=0,"Yes","No")),"Yes")))))</x:f>
        <x:v>Yes</x:v>
      </x:c>
    </x:row>
    <x:row r="105">
      <x:c r="A105" s="123" t="n">
        <x:v>46302</x:v>
      </x:c>
      <x:c r="B105" s="23" t="str">
        <x:v>Wed</x:v>
      </x:c>
      <x:c r="C105" s="23" t="n">
        <x:v>5</x:v>
      </x:c>
      <x:c r="D105" s="23" t="str">
        <x:v>Regular</x:v>
      </x:c>
      <x:c r="E105" s="23" t="str">
        <x:v>CE 3213</x:v>
      </x:c>
      <x:c r="F105" s="173" t="str">
        <x:v>Reinforced Concrete Structures - II</x:v>
      </x:c>
      <x:c r="G105" s="23" t="str">
        <x:v>09:40 AM–10:30 AM</x:v>
      </x:c>
      <x:c r="H105" s="23" t="str">
        <x:v>HRS/MKI</x:v>
      </x:c>
      <x:c r="I105" s="23" t="str">
        <x:v>501</x:v>
      </x:c>
      <x:c r="J105" s="23" t="str">
        <x:v>WED P3</x:v>
      </x:c>
      <x:c r="K105" s="131" t="str"/>
      <x:c r="L105" s="143" t="str"/>
      <x:c r="M105" s="143" t="str"/>
      <x:c r="N105" s="143" t="str"/>
      <x:c r="O105" s="173" t="str"/>
      <x:c r="P105" s="159" t="str">
        <x:f>IF(COUNTIF('Routine &amp; Settings'!$I$5:$I$30,A105)&gt;0,"No",IF(E105="BECM 3204",IF(J105='Routine &amp; Settings'!$B$5,"Yes","No"),IF(E105="BECM 3208",IF(J105='Routine &amp; Settings'!$B$6,"Yes","No"),IF(E105="CE 3224",IF(J105='Routine &amp; Settings'!$B$7,"Yes","No"),IF(E105="BECM 3200",IF('Routine &amp; Settings'!$B$8="Odd Weeks",IF(MOD(C105,2)=1,"Yes","No"),IF(MOD(C105,2)=0,"Yes","No")),"Yes")))))</x:f>
        <x:v>Yes</x:v>
      </x:c>
    </x:row>
    <x:row r="106">
      <x:c r="A106" s="123" t="n">
        <x:v>46302</x:v>
      </x:c>
      <x:c r="B106" s="23" t="str">
        <x:v>Wed</x:v>
      </x:c>
      <x:c r="C106" s="23" t="n">
        <x:v>5</x:v>
      </x:c>
      <x:c r="D106" s="23" t="str">
        <x:v>Regular</x:v>
      </x:c>
      <x:c r="E106" s="23" t="str">
        <x:v>CE 3211</x:v>
      </x:c>
      <x:c r="F106" s="173" t="str">
        <x:v>Structural Analysis and Design - II</x:v>
      </x:c>
      <x:c r="G106" s="23" t="str">
        <x:v>10:40 AM–11:30 AM</x:v>
      </x:c>
      <x:c r="H106" s="23" t="str">
        <x:v>ATB</x:v>
      </x:c>
      <x:c r="I106" s="23" t="str">
        <x:v>501</x:v>
      </x:c>
      <x:c r="J106" s="23" t="str">
        <x:v>WED P4</x:v>
      </x:c>
      <x:c r="K106" s="131" t="str"/>
      <x:c r="L106" s="143" t="str"/>
      <x:c r="M106" s="143" t="str"/>
      <x:c r="N106" s="143" t="str"/>
      <x:c r="O106" s="173" t="str"/>
      <x:c r="P106" s="159" t="str">
        <x:f>IF(COUNTIF('Routine &amp; Settings'!$I$5:$I$30,A106)&gt;0,"No",IF(E106="BECM 3204",IF(J106='Routine &amp; Settings'!$B$5,"Yes","No"),IF(E106="BECM 3208",IF(J106='Routine &amp; Settings'!$B$6,"Yes","No"),IF(E106="CE 3224",IF(J106='Routine &amp; Settings'!$B$7,"Yes","No"),IF(E106="BECM 3200",IF('Routine &amp; Settings'!$B$8="Odd Weeks",IF(MOD(C106,2)=1,"Yes","No"),IF(MOD(C106,2)=0,"Yes","No")),"Yes")))))</x:f>
        <x:v>Yes</x:v>
      </x:c>
    </x:row>
    <x:row r="107">
      <x:c r="A107" s="123" t="n">
        <x:v>46302</x:v>
      </x:c>
      <x:c r="B107" s="23" t="str">
        <x:v>Wed</x:v>
      </x:c>
      <x:c r="C107" s="23" t="n">
        <x:v>5</x:v>
      </x:c>
      <x:c r="D107" s="23" t="str">
        <x:v>Regular</x:v>
      </x:c>
      <x:c r="E107" s="23" t="str">
        <x:v>CE 3223</x:v>
      </x:c>
      <x:c r="F107" s="173" t="str">
        <x:v>Soil Mechanics</x:v>
      </x:c>
      <x:c r="G107" s="23" t="str">
        <x:v>11:30 AM–12:20 PM</x:v>
      </x:c>
      <x:c r="H107" s="23" t="str">
        <x:v>MHI</x:v>
      </x:c>
      <x:c r="I107" s="23" t="str">
        <x:v>501</x:v>
      </x:c>
      <x:c r="J107" s="23" t="str">
        <x:v>WED P5</x:v>
      </x:c>
      <x:c r="K107" s="131" t="str"/>
      <x:c r="L107" s="143" t="str"/>
      <x:c r="M107" s="143" t="str"/>
      <x:c r="N107" s="143" t="str"/>
      <x:c r="O107" s="173" t="str"/>
      <x:c r="P107" s="159" t="str">
        <x:f>IF(COUNTIF('Routine &amp; Settings'!$I$5:$I$30,A107)&gt;0,"No",IF(E107="BECM 3204",IF(J107='Routine &amp; Settings'!$B$5,"Yes","No"),IF(E107="BECM 3208",IF(J107='Routine &amp; Settings'!$B$6,"Yes","No"),IF(E107="CE 3224",IF(J107='Routine &amp; Settings'!$B$7,"Yes","No"),IF(E107="BECM 3200",IF('Routine &amp; Settings'!$B$8="Odd Weeks",IF(MOD(C107,2)=1,"Yes","No"),IF(MOD(C107,2)=0,"Yes","No")),"Yes")))))</x:f>
        <x:v>Yes</x:v>
      </x:c>
    </x:row>
    <x:row r="108">
      <x:c r="A108" s="123" t="n">
        <x:v>46302</x:v>
      </x:c>
      <x:c r="B108" s="23" t="str">
        <x:v>Wed</x:v>
      </x:c>
      <x:c r="C108" s="23" t="n">
        <x:v>5</x:v>
      </x:c>
      <x:c r="D108" s="23" t="str">
        <x:v>Regular</x:v>
      </x:c>
      <x:c r="E108" s="23" t="str">
        <x:v>BECM 3205</x:v>
      </x:c>
      <x:c r="F108" s="173" t="str">
        <x:v>Acoustics and Lighting</x:v>
      </x:c>
      <x:c r="G108" s="23" t="str">
        <x:v>12:20 PM–01:10 PM</x:v>
      </x:c>
      <x:c r="H108" s="23" t="str">
        <x:v>MSH/AAM</x:v>
      </x:c>
      <x:c r="I108" s="23" t="str">
        <x:v>501</x:v>
      </x:c>
      <x:c r="J108" s="23" t="str">
        <x:v>WED P6</x:v>
      </x:c>
      <x:c r="K108" s="131" t="str"/>
      <x:c r="L108" s="143" t="str"/>
      <x:c r="M108" s="143" t="str"/>
      <x:c r="N108" s="143" t="str"/>
      <x:c r="O108" s="173" t="str"/>
      <x:c r="P108" s="159" t="str">
        <x:f>IF(COUNTIF('Routine &amp; Settings'!$I$5:$I$30,A108)&gt;0,"No",IF(E108="BECM 3204",IF(J108='Routine &amp; Settings'!$B$5,"Yes","No"),IF(E108="BECM 3208",IF(J108='Routine &amp; Settings'!$B$6,"Yes","No"),IF(E108="CE 3224",IF(J108='Routine &amp; Settings'!$B$7,"Yes","No"),IF(E108="BECM 3200",IF('Routine &amp; Settings'!$B$8="Odd Weeks",IF(MOD(C108,2)=1,"Yes","No"),IF(MOD(C108,2)=0,"Yes","No")),"Yes")))))</x:f>
        <x:v>Yes</x:v>
      </x:c>
    </x:row>
    <x:row r="109">
      <x:c r="A109" s="123" t="n">
        <x:v>46302</x:v>
      </x:c>
      <x:c r="B109" s="23" t="str">
        <x:v>Wed</x:v>
      </x:c>
      <x:c r="C109" s="23" t="n">
        <x:v>5</x:v>
      </x:c>
      <x:c r="D109" s="23" t="str">
        <x:v>Regular</x:v>
      </x:c>
      <x:c r="E109" s="23" t="str">
        <x:v>BECM 3208</x:v>
      </x:c>
      <x:c r="F109" s="173" t="str">
        <x:v>Landscape Design</x:v>
      </x:c>
      <x:c r="G109" s="23" t="str">
        <x:v>02:30 PM–05:00 PM</x:v>
      </x:c>
      <x:c r="H109" s="23" t="str">
        <x:v>MSH/MSA</x:v>
      </x:c>
      <x:c r="I109" s="23" t="str">
        <x:v>501</x:v>
      </x:c>
      <x:c r="J109" s="23" t="str">
        <x:v>Wed PM</x:v>
      </x:c>
      <x:c r="K109" s="131" t="str"/>
      <x:c r="L109" s="143" t="str"/>
      <x:c r="M109" s="143" t="str"/>
      <x:c r="N109" s="143" t="str"/>
      <x:c r="O109" s="173" t="str"/>
      <x:c r="P109" s="159" t="str">
        <x:f>IF(COUNTIF('Routine &amp; Settings'!$I$5:$I$30,A109)&gt;0,"No",IF(E109="BECM 3204",IF(J109='Routine &amp; Settings'!$B$5,"Yes","No"),IF(E109="BECM 3208",IF(J109='Routine &amp; Settings'!$B$6,"Yes","No"),IF(E109="CE 3224",IF(J109='Routine &amp; Settings'!$B$7,"Yes","No"),IF(E109="BECM 3200",IF('Routine &amp; Settings'!$B$8="Odd Weeks",IF(MOD(C109,2)=1,"Yes","No"),IF(MOD(C109,2)=0,"Yes","No")),"Yes")))))</x:f>
        <x:v>No</x:v>
      </x:c>
    </x:row>
    <x:row r="110">
      <x:c r="A110" s="123" t="n">
        <x:v>46303</x:v>
      </x:c>
      <x:c r="B110" s="23" t="str">
        <x:v>Thu</x:v>
      </x:c>
      <x:c r="C110" s="23" t="n">
        <x:v>5</x:v>
      </x:c>
      <x:c r="D110" s="23" t="str">
        <x:v>Regular</x:v>
      </x:c>
      <x:c r="E110" s="23" t="str">
        <x:v>BECM 3204</x:v>
      </x:c>
      <x:c r="F110" s="173" t="str">
        <x:v>Construction Techniques and Equipments - II</x:v>
      </x:c>
      <x:c r="G110" s="23" t="str">
        <x:v>08:00 AM–10:30 AM</x:v>
      </x:c>
      <x:c r="H110" s="23" t="str">
        <x:v>HRS/MR</x:v>
      </x:c>
      <x:c r="I110" s="23" t="str"/>
      <x:c r="J110" s="23" t="str">
        <x:v>Thu AM</x:v>
      </x:c>
      <x:c r="K110" s="131" t="str"/>
      <x:c r="L110" s="143" t="str"/>
      <x:c r="M110" s="143" t="str"/>
      <x:c r="N110" s="143" t="str"/>
      <x:c r="O110" s="173" t="str"/>
      <x:c r="P110" s="159" t="str">
        <x:f>IF(COUNTIF('Routine &amp; Settings'!$I$5:$I$30,A110)&gt;0,"No",IF(E110="BECM 3204",IF(J110='Routine &amp; Settings'!$B$5,"Yes","No"),IF(E110="BECM 3208",IF(J110='Routine &amp; Settings'!$B$6,"Yes","No"),IF(E110="CE 3224",IF(J110='Routine &amp; Settings'!$B$7,"Yes","No"),IF(E110="BECM 3200",IF('Routine &amp; Settings'!$B$8="Odd Weeks",IF(MOD(C110,2)=1,"Yes","No"),IF(MOD(C110,2)=0,"Yes","No")),"Yes")))))</x:f>
        <x:v>No</x:v>
      </x:c>
    </x:row>
    <x:row r="111">
      <x:c r="A111" s="123" t="n">
        <x:v>46303</x:v>
      </x:c>
      <x:c r="B111" s="23" t="str">
        <x:v>Thu</x:v>
      </x:c>
      <x:c r="C111" s="23" t="n">
        <x:v>5</x:v>
      </x:c>
      <x:c r="D111" s="23" t="str">
        <x:v>Regular</x:v>
      </x:c>
      <x:c r="E111" s="23" t="str">
        <x:v>BECM 3205</x:v>
      </x:c>
      <x:c r="F111" s="173" t="str">
        <x:v>Acoustics and Lighting</x:v>
      </x:c>
      <x:c r="G111" s="23" t="str">
        <x:v>10:40 AM–11:30 AM</x:v>
      </x:c>
      <x:c r="H111" s="23" t="str">
        <x:v>MSH</x:v>
      </x:c>
      <x:c r="I111" s="23" t="str">
        <x:v>406</x:v>
      </x:c>
      <x:c r="J111" s="23" t="str">
        <x:v>THURS P4</x:v>
      </x:c>
      <x:c r="K111" s="131" t="str"/>
      <x:c r="L111" s="143" t="str"/>
      <x:c r="M111" s="143" t="str"/>
      <x:c r="N111" s="143" t="str"/>
      <x:c r="O111" s="173" t="str"/>
      <x:c r="P111" s="159" t="str">
        <x:f>IF(COUNTIF('Routine &amp; Settings'!$I$5:$I$30,A111)&gt;0,"No",IF(E111="BECM 3204",IF(J111='Routine &amp; Settings'!$B$5,"Yes","No"),IF(E111="BECM 3208",IF(J111='Routine &amp; Settings'!$B$6,"Yes","No"),IF(E111="CE 3224",IF(J111='Routine &amp; Settings'!$B$7,"Yes","No"),IF(E111="BECM 3200",IF('Routine &amp; Settings'!$B$8="Odd Weeks",IF(MOD(C111,2)=1,"Yes","No"),IF(MOD(C111,2)=0,"Yes","No")),"Yes")))))</x:f>
        <x:v>Yes</x:v>
      </x:c>
    </x:row>
    <x:row r="112">
      <x:c r="A112" s="123" t="n">
        <x:v>46303</x:v>
      </x:c>
      <x:c r="B112" s="23" t="str">
        <x:v>Thu</x:v>
      </x:c>
      <x:c r="C112" s="23" t="n">
        <x:v>5</x:v>
      </x:c>
      <x:c r="D112" s="23" t="str">
        <x:v>Regular</x:v>
      </x:c>
      <x:c r="E112" s="23" t="str">
        <x:v>CE 3211</x:v>
      </x:c>
      <x:c r="F112" s="173" t="str">
        <x:v>Structural Analysis and Design - II</x:v>
      </x:c>
      <x:c r="G112" s="23" t="str">
        <x:v>11:30 AM–12:20 PM</x:v>
      </x:c>
      <x:c r="H112" s="23" t="str">
        <x:v>MKI/ATB</x:v>
      </x:c>
      <x:c r="I112" s="23" t="str">
        <x:v>406</x:v>
      </x:c>
      <x:c r="J112" s="23" t="str">
        <x:v>THURS P5</x:v>
      </x:c>
      <x:c r="K112" s="131" t="str"/>
      <x:c r="L112" s="143" t="str"/>
      <x:c r="M112" s="143" t="str"/>
      <x:c r="N112" s="143" t="str"/>
      <x:c r="O112" s="173" t="str"/>
      <x:c r="P112" s="159" t="str">
        <x:f>IF(COUNTIF('Routine &amp; Settings'!$I$5:$I$30,A112)&gt;0,"No",IF(E112="BECM 3204",IF(J112='Routine &amp; Settings'!$B$5,"Yes","No"),IF(E112="BECM 3208",IF(J112='Routine &amp; Settings'!$B$6,"Yes","No"),IF(E112="CE 3224",IF(J112='Routine &amp; Settings'!$B$7,"Yes","No"),IF(E112="BECM 3200",IF('Routine &amp; Settings'!$B$8="Odd Weeks",IF(MOD(C112,2)=1,"Yes","No"),IF(MOD(C112,2)=0,"Yes","No")),"Yes")))))</x:f>
        <x:v>Yes</x:v>
      </x:c>
    </x:row>
    <x:row r="113">
      <x:c r="A113" s="123" t="n">
        <x:v>46303</x:v>
      </x:c>
      <x:c r="B113" s="23" t="str">
        <x:v>Thu</x:v>
      </x:c>
      <x:c r="C113" s="23" t="n">
        <x:v>5</x:v>
      </x:c>
      <x:c r="D113" s="23" t="str">
        <x:v>Regular</x:v>
      </x:c>
      <x:c r="E113" s="23" t="str">
        <x:v>BECM 3201</x:v>
      </x:c>
      <x:c r="F113" s="173" t="str">
        <x:v>Construction and Project Management - II</x:v>
      </x:c>
      <x:c r="G113" s="23" t="str">
        <x:v>12:20 PM–01:10 PM</x:v>
      </x:c>
      <x:c r="H113" s="23" t="str">
        <x:v>MR/MRA</x:v>
      </x:c>
      <x:c r="I113" s="23" t="str">
        <x:v>406</x:v>
      </x:c>
      <x:c r="J113" s="23" t="str">
        <x:v>THURS P6</x:v>
      </x:c>
      <x:c r="K113" s="131" t="str"/>
      <x:c r="L113" s="143" t="str"/>
      <x:c r="M113" s="143" t="str"/>
      <x:c r="N113" s="143" t="str"/>
      <x:c r="O113" s="173" t="str"/>
      <x:c r="P113" s="159" t="str">
        <x:f>IF(COUNTIF('Routine &amp; Settings'!$I$5:$I$30,A113)&gt;0,"No",IF(E113="BECM 3204",IF(J113='Routine &amp; Settings'!$B$5,"Yes","No"),IF(E113="BECM 3208",IF(J113='Routine &amp; Settings'!$B$6,"Yes","No"),IF(E113="CE 3224",IF(J113='Routine &amp; Settings'!$B$7,"Yes","No"),IF(E113="BECM 3200",IF('Routine &amp; Settings'!$B$8="Odd Weeks",IF(MOD(C113,2)=1,"Yes","No"),IF(MOD(C113,2)=0,"Yes","No")),"Yes")))))</x:f>
        <x:v>Yes</x:v>
      </x:c>
    </x:row>
    <x:row r="114">
      <x:c r="A114" s="123" t="n">
        <x:v>46303</x:v>
      </x:c>
      <x:c r="B114" s="23" t="str">
        <x:v>Thu</x:v>
      </x:c>
      <x:c r="C114" s="23" t="n">
        <x:v>5</x:v>
      </x:c>
      <x:c r="D114" s="23" t="str">
        <x:v>Regular</x:v>
      </x:c>
      <x:c r="E114" s="23" t="str">
        <x:v>CE 3224</x:v>
      </x:c>
      <x:c r="F114" s="173" t="str">
        <x:v>Sessional on Soil Mechanics</x:v>
      </x:c>
      <x:c r="G114" s="23" t="str">
        <x:v>02:30 PM–05:00 PM</x:v>
      </x:c>
      <x:c r="H114" s="23" t="str">
        <x:v>MHI/MRA</x:v>
      </x:c>
      <x:c r="I114" s="23" t="str">
        <x:v>405</x:v>
      </x:c>
      <x:c r="J114" s="23" t="str">
        <x:v>Thu PM</x:v>
      </x:c>
      <x:c r="K114" s="131" t="str"/>
      <x:c r="L114" s="143" t="str"/>
      <x:c r="M114" s="143" t="str"/>
      <x:c r="N114" s="143" t="str"/>
      <x:c r="O114" s="173" t="str"/>
      <x:c r="P114" s="159" t="str">
        <x:f>IF(COUNTIF('Routine &amp; Settings'!$I$5:$I$30,A114)&gt;0,"No",IF(E114="BECM 3204",IF(J114='Routine &amp; Settings'!$B$5,"Yes","No"),IF(E114="BECM 3208",IF(J114='Routine &amp; Settings'!$B$6,"Yes","No"),IF(E114="CE 3224",IF(J114='Routine &amp; Settings'!$B$7,"Yes","No"),IF(E114="BECM 3200",IF('Routine &amp; Settings'!$B$8="Odd Weeks",IF(MOD(C114,2)=1,"Yes","No"),IF(MOD(C114,2)=0,"Yes","No")),"Yes")))))</x:f>
        <x:v>No</x:v>
      </x:c>
    </x:row>
    <x:row r="115">
      <x:c r="A115" s="123" t="n">
        <x:v>46306</x:v>
      </x:c>
      <x:c r="B115" s="23" t="str">
        <x:v>Sun</x:v>
      </x:c>
      <x:c r="C115" s="23" t="n">
        <x:v>6</x:v>
      </x:c>
      <x:c r="D115" s="23" t="str">
        <x:v>Regular</x:v>
      </x:c>
      <x:c r="E115" s="23" t="str">
        <x:v>CE 3213</x:v>
      </x:c>
      <x:c r="F115" s="173" t="str">
        <x:v>Reinforced Concrete Structures - II</x:v>
      </x:c>
      <x:c r="G115" s="23" t="str">
        <x:v>10:40 AM–11:30 AM</x:v>
      </x:c>
      <x:c r="H115" s="23" t="str">
        <x:v>HRS</x:v>
      </x:c>
      <x:c r="I115" s="23" t="str">
        <x:v>501</x:v>
      </x:c>
      <x:c r="J115" s="23" t="str">
        <x:v>SUN P4</x:v>
      </x:c>
      <x:c r="K115" s="131" t="str"/>
      <x:c r="L115" s="143" t="str"/>
      <x:c r="M115" s="143" t="str"/>
      <x:c r="N115" s="143" t="str"/>
      <x:c r="O115" s="173" t="str"/>
      <x:c r="P115" s="159" t="str">
        <x:f>IF(COUNTIF('Routine &amp; Settings'!$I$5:$I$30,A115)&gt;0,"No",IF(E115="BECM 3204",IF(J115='Routine &amp; Settings'!$B$5,"Yes","No"),IF(E115="BECM 3208",IF(J115='Routine &amp; Settings'!$B$6,"Yes","No"),IF(E115="CE 3224",IF(J115='Routine &amp; Settings'!$B$7,"Yes","No"),IF(E115="BECM 3200",IF('Routine &amp; Settings'!$B$8="Odd Weeks",IF(MOD(C115,2)=1,"Yes","No"),IF(MOD(C115,2)=0,"Yes","No")),"Yes")))))</x:f>
        <x:v>Yes</x:v>
      </x:c>
    </x:row>
    <x:row r="116">
      <x:c r="A116" s="123" t="n">
        <x:v>46306</x:v>
      </x:c>
      <x:c r="B116" s="23" t="str">
        <x:v>Sun</x:v>
      </x:c>
      <x:c r="C116" s="23" t="n">
        <x:v>6</x:v>
      </x:c>
      <x:c r="D116" s="23" t="str">
        <x:v>Regular</x:v>
      </x:c>
      <x:c r="E116" s="23" t="str">
        <x:v>CE 3223</x:v>
      </x:c>
      <x:c r="F116" s="173" t="str">
        <x:v>Soil Mechanics</x:v>
      </x:c>
      <x:c r="G116" s="23" t="str">
        <x:v>11:30 AM–12:20 PM</x:v>
      </x:c>
      <x:c r="H116" s="23" t="str">
        <x:v>MSA</x:v>
      </x:c>
      <x:c r="I116" s="23" t="str">
        <x:v>501</x:v>
      </x:c>
      <x:c r="J116" s="23" t="str">
        <x:v>SUN P5</x:v>
      </x:c>
      <x:c r="K116" s="131" t="str"/>
      <x:c r="L116" s="143" t="str"/>
      <x:c r="M116" s="143" t="str"/>
      <x:c r="N116" s="143" t="str"/>
      <x:c r="O116" s="173" t="str"/>
      <x:c r="P116" s="159" t="str">
        <x:f>IF(COUNTIF('Routine &amp; Settings'!$I$5:$I$30,A116)&gt;0,"No",IF(E116="BECM 3204",IF(J116='Routine &amp; Settings'!$B$5,"Yes","No"),IF(E116="BECM 3208",IF(J116='Routine &amp; Settings'!$B$6,"Yes","No"),IF(E116="CE 3224",IF(J116='Routine &amp; Settings'!$B$7,"Yes","No"),IF(E116="BECM 3200",IF('Routine &amp; Settings'!$B$8="Odd Weeks",IF(MOD(C116,2)=1,"Yes","No"),IF(MOD(C116,2)=0,"Yes","No")),"Yes")))))</x:f>
        <x:v>Yes</x:v>
      </x:c>
    </x:row>
    <x:row r="117">
      <x:c r="A117" s="123" t="n">
        <x:v>46306</x:v>
      </x:c>
      <x:c r="B117" s="23" t="str">
        <x:v>Sun</x:v>
      </x:c>
      <x:c r="C117" s="23" t="n">
        <x:v>6</x:v>
      </x:c>
      <x:c r="D117" s="23" t="str">
        <x:v>Regular</x:v>
      </x:c>
      <x:c r="E117" s="23" t="str">
        <x:v>CE 3211</x:v>
      </x:c>
      <x:c r="F117" s="173" t="str">
        <x:v>Structural Analysis and Design - II</x:v>
      </x:c>
      <x:c r="G117" s="23" t="str">
        <x:v>12:20 PM–01:10 PM</x:v>
      </x:c>
      <x:c r="H117" s="23" t="str">
        <x:v>MKI</x:v>
      </x:c>
      <x:c r="I117" s="23" t="str">
        <x:v>501</x:v>
      </x:c>
      <x:c r="J117" s="23" t="str">
        <x:v>SUN P6</x:v>
      </x:c>
      <x:c r="K117" s="131" t="str"/>
      <x:c r="L117" s="143" t="str"/>
      <x:c r="M117" s="143" t="str"/>
      <x:c r="N117" s="143" t="str"/>
      <x:c r="O117" s="173" t="str"/>
      <x:c r="P117" s="159" t="str">
        <x:f>IF(COUNTIF('Routine &amp; Settings'!$I$5:$I$30,A117)&gt;0,"No",IF(E117="BECM 3204",IF(J117='Routine &amp; Settings'!$B$5,"Yes","No"),IF(E117="BECM 3208",IF(J117='Routine &amp; Settings'!$B$6,"Yes","No"),IF(E117="CE 3224",IF(J117='Routine &amp; Settings'!$B$7,"Yes","No"),IF(E117="BECM 3200",IF('Routine &amp; Settings'!$B$8="Odd Weeks",IF(MOD(C117,2)=1,"Yes","No"),IF(MOD(C117,2)=0,"Yes","No")),"Yes")))))</x:f>
        <x:v>Yes</x:v>
      </x:c>
    </x:row>
    <x:row r="118">
      <x:c r="A118" s="123" t="n">
        <x:v>46306</x:v>
      </x:c>
      <x:c r="B118" s="23" t="str">
        <x:v>Sun</x:v>
      </x:c>
      <x:c r="C118" s="23" t="n">
        <x:v>6</x:v>
      </x:c>
      <x:c r="D118" s="23" t="str">
        <x:v>Regular</x:v>
      </x:c>
      <x:c r="E118" s="23" t="str">
        <x:v>BECM 3204</x:v>
      </x:c>
      <x:c r="F118" s="173" t="str">
        <x:v>Construction Techniques and Equipments - II</x:v>
      </x:c>
      <x:c r="G118" s="23" t="str">
        <x:v>02:30 PM–05:00 PM</x:v>
      </x:c>
      <x:c r="H118" s="23" t="str">
        <x:v>HRS/MR</x:v>
      </x:c>
      <x:c r="I118" s="23" t="str">
        <x:v>404</x:v>
      </x:c>
      <x:c r="J118" s="23" t="str">
        <x:v>Sun PM</x:v>
      </x:c>
      <x:c r="K118" s="131" t="str"/>
      <x:c r="L118" s="143" t="str"/>
      <x:c r="M118" s="143" t="str"/>
      <x:c r="N118" s="143" t="str"/>
      <x:c r="O118" s="173" t="str"/>
      <x:c r="P118" s="159" t="str">
        <x:f>IF(COUNTIF('Routine &amp; Settings'!$I$5:$I$30,A118)&gt;0,"No",IF(E118="BECM 3204",IF(J118='Routine &amp; Settings'!$B$5,"Yes","No"),IF(E118="BECM 3208",IF(J118='Routine &amp; Settings'!$B$6,"Yes","No"),IF(E118="CE 3224",IF(J118='Routine &amp; Settings'!$B$7,"Yes","No"),IF(E118="BECM 3200",IF('Routine &amp; Settings'!$B$8="Odd Weeks",IF(MOD(C118,2)=1,"Yes","No"),IF(MOD(C118,2)=0,"Yes","No")),"Yes")))))</x:f>
        <x:v>Yes</x:v>
      </x:c>
    </x:row>
    <x:row r="119">
      <x:c r="A119" s="123" t="n">
        <x:v>46307</x:v>
      </x:c>
      <x:c r="B119" s="23" t="str">
        <x:v>Mon</x:v>
      </x:c>
      <x:c r="C119" s="23" t="n">
        <x:v>6</x:v>
      </x:c>
      <x:c r="D119" s="23" t="str">
        <x:v>Regular</x:v>
      </x:c>
      <x:c r="E119" s="23" t="str">
        <x:v>CE 3223</x:v>
      </x:c>
      <x:c r="F119" s="173" t="str">
        <x:v>Soil Mechanics</x:v>
      </x:c>
      <x:c r="G119" s="23" t="str">
        <x:v>09:40 AM–10:30 AM</x:v>
      </x:c>
      <x:c r="H119" s="23" t="str">
        <x:v>MHI/MSA</x:v>
      </x:c>
      <x:c r="I119" s="23" t="str">
        <x:v>404</x:v>
      </x:c>
      <x:c r="J119" s="23" t="str">
        <x:v>MON P3</x:v>
      </x:c>
      <x:c r="K119" s="131" t="str"/>
      <x:c r="L119" s="143" t="str"/>
      <x:c r="M119" s="143" t="str"/>
      <x:c r="N119" s="143" t="str"/>
      <x:c r="O119" s="173" t="str"/>
      <x:c r="P119" s="159" t="str">
        <x:f>IF(COUNTIF('Routine &amp; Settings'!$I$5:$I$30,A119)&gt;0,"No",IF(E119="BECM 3204",IF(J119='Routine &amp; Settings'!$B$5,"Yes","No"),IF(E119="BECM 3208",IF(J119='Routine &amp; Settings'!$B$6,"Yes","No"),IF(E119="CE 3224",IF(J119='Routine &amp; Settings'!$B$7,"Yes","No"),IF(E119="BECM 3200",IF('Routine &amp; Settings'!$B$8="Odd Weeks",IF(MOD(C119,2)=1,"Yes","No"),IF(MOD(C119,2)=0,"Yes","No")),"Yes")))))</x:f>
        <x:v>Yes</x:v>
      </x:c>
    </x:row>
    <x:row r="120">
      <x:c r="A120" s="123" t="n">
        <x:v>46307</x:v>
      </x:c>
      <x:c r="B120" s="23" t="str">
        <x:v>Mon</x:v>
      </x:c>
      <x:c r="C120" s="23" t="n">
        <x:v>6</x:v>
      </x:c>
      <x:c r="D120" s="23" t="str">
        <x:v>Regular</x:v>
      </x:c>
      <x:c r="E120" s="23" t="str">
        <x:v>BECM 3201</x:v>
      </x:c>
      <x:c r="F120" s="173" t="str">
        <x:v>Construction and Project Management - II</x:v>
      </x:c>
      <x:c r="G120" s="23" t="str">
        <x:v>11:30 AM–12:20 PM</x:v>
      </x:c>
      <x:c r="H120" s="23" t="str">
        <x:v>MR</x:v>
      </x:c>
      <x:c r="I120" s="23" t="str">
        <x:v>405</x:v>
      </x:c>
      <x:c r="J120" s="23" t="str">
        <x:v>MON P5</x:v>
      </x:c>
      <x:c r="K120" s="131" t="str"/>
      <x:c r="L120" s="143" t="str"/>
      <x:c r="M120" s="143" t="str"/>
      <x:c r="N120" s="143" t="str"/>
      <x:c r="O120" s="173" t="str"/>
      <x:c r="P120" s="159" t="str">
        <x:f>IF(COUNTIF('Routine &amp; Settings'!$I$5:$I$30,A120)&gt;0,"No",IF(E120="BECM 3204",IF(J120='Routine &amp; Settings'!$B$5,"Yes","No"),IF(E120="BECM 3208",IF(J120='Routine &amp; Settings'!$B$6,"Yes","No"),IF(E120="CE 3224",IF(J120='Routine &amp; Settings'!$B$7,"Yes","No"),IF(E120="BECM 3200",IF('Routine &amp; Settings'!$B$8="Odd Weeks",IF(MOD(C120,2)=1,"Yes","No"),IF(MOD(C120,2)=0,"Yes","No")),"Yes")))))</x:f>
        <x:v>Yes</x:v>
      </x:c>
    </x:row>
    <x:row r="121">
      <x:c r="A121" s="123" t="n">
        <x:v>46307</x:v>
      </x:c>
      <x:c r="B121" s="23" t="str">
        <x:v>Mon</x:v>
      </x:c>
      <x:c r="C121" s="23" t="n">
        <x:v>6</x:v>
      </x:c>
      <x:c r="D121" s="23" t="str">
        <x:v>Regular</x:v>
      </x:c>
      <x:c r="E121" s="23" t="str">
        <x:v>BECM 3205</x:v>
      </x:c>
      <x:c r="F121" s="173" t="str">
        <x:v>Acoustics and Lighting</x:v>
      </x:c>
      <x:c r="G121" s="23" t="str">
        <x:v>12:20 PM–01:10 PM</x:v>
      </x:c>
      <x:c r="H121" s="23" t="str">
        <x:v>AAM</x:v>
      </x:c>
      <x:c r="I121" s="23" t="str">
        <x:v>405</x:v>
      </x:c>
      <x:c r="J121" s="23" t="str">
        <x:v>MON P6</x:v>
      </x:c>
      <x:c r="K121" s="131" t="str"/>
      <x:c r="L121" s="143" t="str"/>
      <x:c r="M121" s="143" t="str"/>
      <x:c r="N121" s="143" t="str"/>
      <x:c r="O121" s="173" t="str"/>
      <x:c r="P121" s="159" t="str">
        <x:f>IF(COUNTIF('Routine &amp; Settings'!$I$5:$I$30,A121)&gt;0,"No",IF(E121="BECM 3204",IF(J121='Routine &amp; Settings'!$B$5,"Yes","No"),IF(E121="BECM 3208",IF(J121='Routine &amp; Settings'!$B$6,"Yes","No"),IF(E121="CE 3224",IF(J121='Routine &amp; Settings'!$B$7,"Yes","No"),IF(E121="BECM 3200",IF('Routine &amp; Settings'!$B$8="Odd Weeks",IF(MOD(C121,2)=1,"Yes","No"),IF(MOD(C121,2)=0,"Yes","No")),"Yes")))))</x:f>
        <x:v>Yes</x:v>
      </x:c>
    </x:row>
    <x:row r="122">
      <x:c r="A122" s="123" t="n">
        <x:v>46307</x:v>
      </x:c>
      <x:c r="B122" s="23" t="str">
        <x:v>Mon</x:v>
      </x:c>
      <x:c r="C122" s="23" t="n">
        <x:v>6</x:v>
      </x:c>
      <x:c r="D122" s="23" t="str">
        <x:v>Regular</x:v>
      </x:c>
      <x:c r="E122" s="23" t="str">
        <x:v>BECM 3200</x:v>
      </x:c>
      <x:c r="F122" s="173" t="str">
        <x:v>Project and Seminar</x:v>
      </x:c>
      <x:c r="G122" s="23" t="str">
        <x:v>02:30 PM–05:00 PM</x:v>
      </x:c>
      <x:c r="H122" s="23" t="str">
        <x:v>ALL</x:v>
      </x:c>
      <x:c r="I122" s="23" t="str"/>
      <x:c r="J122" s="23" t="str">
        <x:v>Mon PM</x:v>
      </x:c>
      <x:c r="K122" s="131" t="str"/>
      <x:c r="L122" s="143" t="str"/>
      <x:c r="M122" s="143" t="str"/>
      <x:c r="N122" s="143" t="str"/>
      <x:c r="O122" s="173" t="str"/>
      <x:c r="P122" s="159" t="str">
        <x:f>IF(COUNTIF('Routine &amp; Settings'!$I$5:$I$30,A122)&gt;0,"No",IF(E122="BECM 3204",IF(J122='Routine &amp; Settings'!$B$5,"Yes","No"),IF(E122="BECM 3208",IF(J122='Routine &amp; Settings'!$B$6,"Yes","No"),IF(E122="CE 3224",IF(J122='Routine &amp; Settings'!$B$7,"Yes","No"),IF(E122="BECM 3200",IF('Routine &amp; Settings'!$B$8="Odd Weeks",IF(MOD(C122,2)=1,"Yes","No"),IF(MOD(C122,2)=0,"Yes","No")),"Yes")))))</x:f>
        <x:v>No</x:v>
      </x:c>
    </x:row>
    <x:row r="123">
      <x:c r="A123" s="123" t="n">
        <x:v>46308</x:v>
      </x:c>
      <x:c r="B123" s="23" t="str">
        <x:v>Tue</x:v>
      </x:c>
      <x:c r="C123" s="23" t="n">
        <x:v>6</x:v>
      </x:c>
      <x:c r="D123" s="23" t="str">
        <x:v>Regular</x:v>
      </x:c>
      <x:c r="E123" s="23" t="str">
        <x:v>CE 3224</x:v>
      </x:c>
      <x:c r="F123" s="173" t="str">
        <x:v>Sessional on Soil Mechanics</x:v>
      </x:c>
      <x:c r="G123" s="23" t="str">
        <x:v>08:00 AM–10:30 AM</x:v>
      </x:c>
      <x:c r="H123" s="23" t="str">
        <x:v>MHI/MRA</x:v>
      </x:c>
      <x:c r="I123" s="23" t="str"/>
      <x:c r="J123" s="23" t="str">
        <x:v>Tue AM</x:v>
      </x:c>
      <x:c r="K123" s="131" t="str"/>
      <x:c r="L123" s="143" t="str"/>
      <x:c r="M123" s="143" t="str"/>
      <x:c r="N123" s="143" t="str"/>
      <x:c r="O123" s="173" t="str"/>
      <x:c r="P123" s="159" t="str">
        <x:f>IF(COUNTIF('Routine &amp; Settings'!$I$5:$I$30,A123)&gt;0,"No",IF(E123="BECM 3204",IF(J123='Routine &amp; Settings'!$B$5,"Yes","No"),IF(E123="BECM 3208",IF(J123='Routine &amp; Settings'!$B$6,"Yes","No"),IF(E123="CE 3224",IF(J123='Routine &amp; Settings'!$B$7,"Yes","No"),IF(E123="BECM 3200",IF('Routine &amp; Settings'!$B$8="Odd Weeks",IF(MOD(C123,2)=1,"Yes","No"),IF(MOD(C123,2)=0,"Yes","No")),"Yes")))))</x:f>
        <x:v>Yes</x:v>
      </x:c>
    </x:row>
    <x:row r="124">
      <x:c r="A124" s="123" t="n">
        <x:v>46308</x:v>
      </x:c>
      <x:c r="B124" s="23" t="str">
        <x:v>Tue</x:v>
      </x:c>
      <x:c r="C124" s="23" t="n">
        <x:v>6</x:v>
      </x:c>
      <x:c r="D124" s="23" t="str">
        <x:v>Regular</x:v>
      </x:c>
      <x:c r="E124" s="23" t="str">
        <x:v>CE 3213</x:v>
      </x:c>
      <x:c r="F124" s="173" t="str">
        <x:v>Reinforced Concrete Structures - II</x:v>
      </x:c>
      <x:c r="G124" s="23" t="str">
        <x:v>11:30 AM–12:20 PM</x:v>
      </x:c>
      <x:c r="H124" s="23" t="str">
        <x:v>MKI</x:v>
      </x:c>
      <x:c r="I124" s="23" t="str">
        <x:v>405</x:v>
      </x:c>
      <x:c r="J124" s="23" t="str">
        <x:v>TUES P5</x:v>
      </x:c>
      <x:c r="K124" s="131" t="str"/>
      <x:c r="L124" s="143" t="str"/>
      <x:c r="M124" s="143" t="str"/>
      <x:c r="N124" s="143" t="str"/>
      <x:c r="O124" s="173" t="str"/>
      <x:c r="P124" s="159" t="str">
        <x:f>IF(COUNTIF('Routine &amp; Settings'!$I$5:$I$30,A124)&gt;0,"No",IF(E124="BECM 3204",IF(J124='Routine &amp; Settings'!$B$5,"Yes","No"),IF(E124="BECM 3208",IF(J124='Routine &amp; Settings'!$B$6,"Yes","No"),IF(E124="CE 3224",IF(J124='Routine &amp; Settings'!$B$7,"Yes","No"),IF(E124="BECM 3200",IF('Routine &amp; Settings'!$B$8="Odd Weeks",IF(MOD(C124,2)=1,"Yes","No"),IF(MOD(C124,2)=0,"Yes","No")),"Yes")))))</x:f>
        <x:v>Yes</x:v>
      </x:c>
    </x:row>
    <x:row r="125">
      <x:c r="A125" s="123" t="n">
        <x:v>46308</x:v>
      </x:c>
      <x:c r="B125" s="23" t="str">
        <x:v>Tue</x:v>
      </x:c>
      <x:c r="C125" s="23" t="n">
        <x:v>6</x:v>
      </x:c>
      <x:c r="D125" s="23" t="str">
        <x:v>Regular</x:v>
      </x:c>
      <x:c r="E125" s="23" t="str">
        <x:v>BECM 3201</x:v>
      </x:c>
      <x:c r="F125" s="173" t="str">
        <x:v>Construction and Project Management - II</x:v>
      </x:c>
      <x:c r="G125" s="23" t="str">
        <x:v>12:20 PM–01:10 PM</x:v>
      </x:c>
      <x:c r="H125" s="23" t="str">
        <x:v>MRA</x:v>
      </x:c>
      <x:c r="I125" s="23" t="str">
        <x:v>405</x:v>
      </x:c>
      <x:c r="J125" s="23" t="str">
        <x:v>TUES P6</x:v>
      </x:c>
      <x:c r="K125" s="131" t="str"/>
      <x:c r="L125" s="143" t="str"/>
      <x:c r="M125" s="143" t="str"/>
      <x:c r="N125" s="143" t="str"/>
      <x:c r="O125" s="173" t="str"/>
      <x:c r="P125" s="159" t="str">
        <x:f>IF(COUNTIF('Routine &amp; Settings'!$I$5:$I$30,A125)&gt;0,"No",IF(E125="BECM 3204",IF(J125='Routine &amp; Settings'!$B$5,"Yes","No"),IF(E125="BECM 3208",IF(J125='Routine &amp; Settings'!$B$6,"Yes","No"),IF(E125="CE 3224",IF(J125='Routine &amp; Settings'!$B$7,"Yes","No"),IF(E125="BECM 3200",IF('Routine &amp; Settings'!$B$8="Odd Weeks",IF(MOD(C125,2)=1,"Yes","No"),IF(MOD(C125,2)=0,"Yes","No")),"Yes")))))</x:f>
        <x:v>Yes</x:v>
      </x:c>
    </x:row>
    <x:row r="126">
      <x:c r="A126" s="123" t="n">
        <x:v>46308</x:v>
      </x:c>
      <x:c r="B126" s="23" t="str">
        <x:v>Tue</x:v>
      </x:c>
      <x:c r="C126" s="23" t="n">
        <x:v>6</x:v>
      </x:c>
      <x:c r="D126" s="23" t="str">
        <x:v>Regular</x:v>
      </x:c>
      <x:c r="E126" s="23" t="str">
        <x:v>BECM 3208</x:v>
      </x:c>
      <x:c r="F126" s="173" t="str">
        <x:v>Landscape Design</x:v>
      </x:c>
      <x:c r="G126" s="23" t="str">
        <x:v>02:30 PM–05:00 PM</x:v>
      </x:c>
      <x:c r="H126" s="23" t="str">
        <x:v>MSH/MSA</x:v>
      </x:c>
      <x:c r="I126" s="23" t="str"/>
      <x:c r="J126" s="23" t="str">
        <x:v>Tue PM</x:v>
      </x:c>
      <x:c r="K126" s="131" t="str"/>
      <x:c r="L126" s="143" t="str"/>
      <x:c r="M126" s="143" t="str"/>
      <x:c r="N126" s="143" t="str"/>
      <x:c r="O126" s="173" t="str"/>
      <x:c r="P126" s="159" t="str">
        <x:f>IF(COUNTIF('Routine &amp; Settings'!$I$5:$I$30,A126)&gt;0,"No",IF(E126="BECM 3204",IF(J126='Routine &amp; Settings'!$B$5,"Yes","No"),IF(E126="BECM 3208",IF(J126='Routine &amp; Settings'!$B$6,"Yes","No"),IF(E126="CE 3224",IF(J126='Routine &amp; Settings'!$B$7,"Yes","No"),IF(E126="BECM 3200",IF('Routine &amp; Settings'!$B$8="Odd Weeks",IF(MOD(C126,2)=1,"Yes","No"),IF(MOD(C126,2)=0,"Yes","No")),"Yes")))))</x:f>
        <x:v>Yes</x:v>
      </x:c>
    </x:row>
    <x:row r="127">
      <x:c r="A127" s="123" t="n">
        <x:v>46309</x:v>
      </x:c>
      <x:c r="B127" s="23" t="str">
        <x:v>Wed</x:v>
      </x:c>
      <x:c r="C127" s="23" t="n">
        <x:v>6</x:v>
      </x:c>
      <x:c r="D127" s="23" t="str">
        <x:v>Regular</x:v>
      </x:c>
      <x:c r="E127" s="23" t="str">
        <x:v>CE 3213</x:v>
      </x:c>
      <x:c r="F127" s="173" t="str">
        <x:v>Reinforced Concrete Structures - II</x:v>
      </x:c>
      <x:c r="G127" s="23" t="str">
        <x:v>09:40 AM–10:30 AM</x:v>
      </x:c>
      <x:c r="H127" s="23" t="str">
        <x:v>HRS/MKI</x:v>
      </x:c>
      <x:c r="I127" s="23" t="str">
        <x:v>501</x:v>
      </x:c>
      <x:c r="J127" s="23" t="str">
        <x:v>WED P3</x:v>
      </x:c>
      <x:c r="K127" s="131" t="str"/>
      <x:c r="L127" s="143" t="str"/>
      <x:c r="M127" s="143" t="str"/>
      <x:c r="N127" s="143" t="str"/>
      <x:c r="O127" s="173" t="str"/>
      <x:c r="P127" s="159" t="str">
        <x:f>IF(COUNTIF('Routine &amp; Settings'!$I$5:$I$30,A127)&gt;0,"No",IF(E127="BECM 3204",IF(J127='Routine &amp; Settings'!$B$5,"Yes","No"),IF(E127="BECM 3208",IF(J127='Routine &amp; Settings'!$B$6,"Yes","No"),IF(E127="CE 3224",IF(J127='Routine &amp; Settings'!$B$7,"Yes","No"),IF(E127="BECM 3200",IF('Routine &amp; Settings'!$B$8="Odd Weeks",IF(MOD(C127,2)=1,"Yes","No"),IF(MOD(C127,2)=0,"Yes","No")),"Yes")))))</x:f>
        <x:v>Yes</x:v>
      </x:c>
    </x:row>
    <x:row r="128">
      <x:c r="A128" s="123" t="n">
        <x:v>46309</x:v>
      </x:c>
      <x:c r="B128" s="23" t="str">
        <x:v>Wed</x:v>
      </x:c>
      <x:c r="C128" s="23" t="n">
        <x:v>6</x:v>
      </x:c>
      <x:c r="D128" s="23" t="str">
        <x:v>Regular</x:v>
      </x:c>
      <x:c r="E128" s="23" t="str">
        <x:v>CE 3211</x:v>
      </x:c>
      <x:c r="F128" s="173" t="str">
        <x:v>Structural Analysis and Design - II</x:v>
      </x:c>
      <x:c r="G128" s="23" t="str">
        <x:v>10:40 AM–11:30 AM</x:v>
      </x:c>
      <x:c r="H128" s="23" t="str">
        <x:v>ATB</x:v>
      </x:c>
      <x:c r="I128" s="23" t="str">
        <x:v>501</x:v>
      </x:c>
      <x:c r="J128" s="23" t="str">
        <x:v>WED P4</x:v>
      </x:c>
      <x:c r="K128" s="131" t="str"/>
      <x:c r="L128" s="143" t="str"/>
      <x:c r="M128" s="143" t="str"/>
      <x:c r="N128" s="143" t="str"/>
      <x:c r="O128" s="173" t="str"/>
      <x:c r="P128" s="159" t="str">
        <x:f>IF(COUNTIF('Routine &amp; Settings'!$I$5:$I$30,A128)&gt;0,"No",IF(E128="BECM 3204",IF(J128='Routine &amp; Settings'!$B$5,"Yes","No"),IF(E128="BECM 3208",IF(J128='Routine &amp; Settings'!$B$6,"Yes","No"),IF(E128="CE 3224",IF(J128='Routine &amp; Settings'!$B$7,"Yes","No"),IF(E128="BECM 3200",IF('Routine &amp; Settings'!$B$8="Odd Weeks",IF(MOD(C128,2)=1,"Yes","No"),IF(MOD(C128,2)=0,"Yes","No")),"Yes")))))</x:f>
        <x:v>Yes</x:v>
      </x:c>
    </x:row>
    <x:row r="129">
      <x:c r="A129" s="123" t="n">
        <x:v>46309</x:v>
      </x:c>
      <x:c r="B129" s="23" t="str">
        <x:v>Wed</x:v>
      </x:c>
      <x:c r="C129" s="23" t="n">
        <x:v>6</x:v>
      </x:c>
      <x:c r="D129" s="23" t="str">
        <x:v>Regular</x:v>
      </x:c>
      <x:c r="E129" s="23" t="str">
        <x:v>CE 3223</x:v>
      </x:c>
      <x:c r="F129" s="173" t="str">
        <x:v>Soil Mechanics</x:v>
      </x:c>
      <x:c r="G129" s="23" t="str">
        <x:v>11:30 AM–12:20 PM</x:v>
      </x:c>
      <x:c r="H129" s="23" t="str">
        <x:v>MHI</x:v>
      </x:c>
      <x:c r="I129" s="23" t="str">
        <x:v>501</x:v>
      </x:c>
      <x:c r="J129" s="23" t="str">
        <x:v>WED P5</x:v>
      </x:c>
      <x:c r="K129" s="131" t="str"/>
      <x:c r="L129" s="143" t="str"/>
      <x:c r="M129" s="143" t="str"/>
      <x:c r="N129" s="143" t="str"/>
      <x:c r="O129" s="173" t="str"/>
      <x:c r="P129" s="159" t="str">
        <x:f>IF(COUNTIF('Routine &amp; Settings'!$I$5:$I$30,A129)&gt;0,"No",IF(E129="BECM 3204",IF(J129='Routine &amp; Settings'!$B$5,"Yes","No"),IF(E129="BECM 3208",IF(J129='Routine &amp; Settings'!$B$6,"Yes","No"),IF(E129="CE 3224",IF(J129='Routine &amp; Settings'!$B$7,"Yes","No"),IF(E129="BECM 3200",IF('Routine &amp; Settings'!$B$8="Odd Weeks",IF(MOD(C129,2)=1,"Yes","No"),IF(MOD(C129,2)=0,"Yes","No")),"Yes")))))</x:f>
        <x:v>Yes</x:v>
      </x:c>
    </x:row>
    <x:row r="130">
      <x:c r="A130" s="123" t="n">
        <x:v>46309</x:v>
      </x:c>
      <x:c r="B130" s="23" t="str">
        <x:v>Wed</x:v>
      </x:c>
      <x:c r="C130" s="23" t="n">
        <x:v>6</x:v>
      </x:c>
      <x:c r="D130" s="23" t="str">
        <x:v>Regular</x:v>
      </x:c>
      <x:c r="E130" s="23" t="str">
        <x:v>BECM 3205</x:v>
      </x:c>
      <x:c r="F130" s="173" t="str">
        <x:v>Acoustics and Lighting</x:v>
      </x:c>
      <x:c r="G130" s="23" t="str">
        <x:v>12:20 PM–01:10 PM</x:v>
      </x:c>
      <x:c r="H130" s="23" t="str">
        <x:v>MSH/AAM</x:v>
      </x:c>
      <x:c r="I130" s="23" t="str">
        <x:v>501</x:v>
      </x:c>
      <x:c r="J130" s="23" t="str">
        <x:v>WED P6</x:v>
      </x:c>
      <x:c r="K130" s="131" t="str"/>
      <x:c r="L130" s="143" t="str"/>
      <x:c r="M130" s="143" t="str"/>
      <x:c r="N130" s="143" t="str"/>
      <x:c r="O130" s="173" t="str"/>
      <x:c r="P130" s="159" t="str">
        <x:f>IF(COUNTIF('Routine &amp; Settings'!$I$5:$I$30,A130)&gt;0,"No",IF(E130="BECM 3204",IF(J130='Routine &amp; Settings'!$B$5,"Yes","No"),IF(E130="BECM 3208",IF(J130='Routine &amp; Settings'!$B$6,"Yes","No"),IF(E130="CE 3224",IF(J130='Routine &amp; Settings'!$B$7,"Yes","No"),IF(E130="BECM 3200",IF('Routine &amp; Settings'!$B$8="Odd Weeks",IF(MOD(C130,2)=1,"Yes","No"),IF(MOD(C130,2)=0,"Yes","No")),"Yes")))))</x:f>
        <x:v>Yes</x:v>
      </x:c>
    </x:row>
    <x:row r="131">
      <x:c r="A131" s="123" t="n">
        <x:v>46309</x:v>
      </x:c>
      <x:c r="B131" s="23" t="str">
        <x:v>Wed</x:v>
      </x:c>
      <x:c r="C131" s="23" t="n">
        <x:v>6</x:v>
      </x:c>
      <x:c r="D131" s="23" t="str">
        <x:v>Regular</x:v>
      </x:c>
      <x:c r="E131" s="23" t="str">
        <x:v>BECM 3208</x:v>
      </x:c>
      <x:c r="F131" s="173" t="str">
        <x:v>Landscape Design</x:v>
      </x:c>
      <x:c r="G131" s="23" t="str">
        <x:v>02:30 PM–05:00 PM</x:v>
      </x:c>
      <x:c r="H131" s="23" t="str">
        <x:v>MSH/MSA</x:v>
      </x:c>
      <x:c r="I131" s="23" t="str">
        <x:v>501</x:v>
      </x:c>
      <x:c r="J131" s="23" t="str">
        <x:v>Wed PM</x:v>
      </x:c>
      <x:c r="K131" s="131" t="str"/>
      <x:c r="L131" s="143" t="str"/>
      <x:c r="M131" s="143" t="str"/>
      <x:c r="N131" s="143" t="str"/>
      <x:c r="O131" s="173" t="str"/>
      <x:c r="P131" s="159" t="str">
        <x:f>IF(COUNTIF('Routine &amp; Settings'!$I$5:$I$30,A131)&gt;0,"No",IF(E131="BECM 3204",IF(J131='Routine &amp; Settings'!$B$5,"Yes","No"),IF(E131="BECM 3208",IF(J131='Routine &amp; Settings'!$B$6,"Yes","No"),IF(E131="CE 3224",IF(J131='Routine &amp; Settings'!$B$7,"Yes","No"),IF(E131="BECM 3200",IF('Routine &amp; Settings'!$B$8="Odd Weeks",IF(MOD(C131,2)=1,"Yes","No"),IF(MOD(C131,2)=0,"Yes","No")),"Yes")))))</x:f>
        <x:v>No</x:v>
      </x:c>
    </x:row>
    <x:row r="132">
      <x:c r="A132" s="123" t="n">
        <x:v>46310</x:v>
      </x:c>
      <x:c r="B132" s="23" t="str">
        <x:v>Thu</x:v>
      </x:c>
      <x:c r="C132" s="23" t="n">
        <x:v>6</x:v>
      </x:c>
      <x:c r="D132" s="23" t="str">
        <x:v>Regular</x:v>
      </x:c>
      <x:c r="E132" s="23" t="str">
        <x:v>BECM 3204</x:v>
      </x:c>
      <x:c r="F132" s="173" t="str">
        <x:v>Construction Techniques and Equipments - II</x:v>
      </x:c>
      <x:c r="G132" s="23" t="str">
        <x:v>08:00 AM–10:30 AM</x:v>
      </x:c>
      <x:c r="H132" s="23" t="str">
        <x:v>HRS/MR</x:v>
      </x:c>
      <x:c r="I132" s="23" t="str"/>
      <x:c r="J132" s="23" t="str">
        <x:v>Thu AM</x:v>
      </x:c>
      <x:c r="K132" s="131" t="str"/>
      <x:c r="L132" s="143" t="str"/>
      <x:c r="M132" s="143" t="str"/>
      <x:c r="N132" s="143" t="str"/>
      <x:c r="O132" s="173" t="str"/>
      <x:c r="P132" s="159" t="str">
        <x:f>IF(COUNTIF('Routine &amp; Settings'!$I$5:$I$30,A132)&gt;0,"No",IF(E132="BECM 3204",IF(J132='Routine &amp; Settings'!$B$5,"Yes","No"),IF(E132="BECM 3208",IF(J132='Routine &amp; Settings'!$B$6,"Yes","No"),IF(E132="CE 3224",IF(J132='Routine &amp; Settings'!$B$7,"Yes","No"),IF(E132="BECM 3200",IF('Routine &amp; Settings'!$B$8="Odd Weeks",IF(MOD(C132,2)=1,"Yes","No"),IF(MOD(C132,2)=0,"Yes","No")),"Yes")))))</x:f>
        <x:v>No</x:v>
      </x:c>
    </x:row>
    <x:row r="133">
      <x:c r="A133" s="123" t="n">
        <x:v>46310</x:v>
      </x:c>
      <x:c r="B133" s="23" t="str">
        <x:v>Thu</x:v>
      </x:c>
      <x:c r="C133" s="23" t="n">
        <x:v>6</x:v>
      </x:c>
      <x:c r="D133" s="23" t="str">
        <x:v>Regular</x:v>
      </x:c>
      <x:c r="E133" s="23" t="str">
        <x:v>BECM 3205</x:v>
      </x:c>
      <x:c r="F133" s="173" t="str">
        <x:v>Acoustics and Lighting</x:v>
      </x:c>
      <x:c r="G133" s="23" t="str">
        <x:v>10:40 AM–11:30 AM</x:v>
      </x:c>
      <x:c r="H133" s="23" t="str">
        <x:v>MSH</x:v>
      </x:c>
      <x:c r="I133" s="23" t="str">
        <x:v>406</x:v>
      </x:c>
      <x:c r="J133" s="23" t="str">
        <x:v>THURS P4</x:v>
      </x:c>
      <x:c r="K133" s="131" t="str"/>
      <x:c r="L133" s="143" t="str"/>
      <x:c r="M133" s="143" t="str"/>
      <x:c r="N133" s="143" t="str"/>
      <x:c r="O133" s="173" t="str"/>
      <x:c r="P133" s="159" t="str">
        <x:f>IF(COUNTIF('Routine &amp; Settings'!$I$5:$I$30,A133)&gt;0,"No",IF(E133="BECM 3204",IF(J133='Routine &amp; Settings'!$B$5,"Yes","No"),IF(E133="BECM 3208",IF(J133='Routine &amp; Settings'!$B$6,"Yes","No"),IF(E133="CE 3224",IF(J133='Routine &amp; Settings'!$B$7,"Yes","No"),IF(E133="BECM 3200",IF('Routine &amp; Settings'!$B$8="Odd Weeks",IF(MOD(C133,2)=1,"Yes","No"),IF(MOD(C133,2)=0,"Yes","No")),"Yes")))))</x:f>
        <x:v>Yes</x:v>
      </x:c>
    </x:row>
    <x:row r="134">
      <x:c r="A134" s="123" t="n">
        <x:v>46310</x:v>
      </x:c>
      <x:c r="B134" s="23" t="str">
        <x:v>Thu</x:v>
      </x:c>
      <x:c r="C134" s="23" t="n">
        <x:v>6</x:v>
      </x:c>
      <x:c r="D134" s="23" t="str">
        <x:v>Regular</x:v>
      </x:c>
      <x:c r="E134" s="23" t="str">
        <x:v>CE 3211</x:v>
      </x:c>
      <x:c r="F134" s="173" t="str">
        <x:v>Structural Analysis and Design - II</x:v>
      </x:c>
      <x:c r="G134" s="23" t="str">
        <x:v>11:30 AM–12:20 PM</x:v>
      </x:c>
      <x:c r="H134" s="23" t="str">
        <x:v>MKI/ATB</x:v>
      </x:c>
      <x:c r="I134" s="23" t="str">
        <x:v>406</x:v>
      </x:c>
      <x:c r="J134" s="23" t="str">
        <x:v>THURS P5</x:v>
      </x:c>
      <x:c r="K134" s="131" t="str"/>
      <x:c r="L134" s="143" t="str"/>
      <x:c r="M134" s="143" t="str"/>
      <x:c r="N134" s="143" t="str"/>
      <x:c r="O134" s="173" t="str"/>
      <x:c r="P134" s="159" t="str">
        <x:f>IF(COUNTIF('Routine &amp; Settings'!$I$5:$I$30,A134)&gt;0,"No",IF(E134="BECM 3204",IF(J134='Routine &amp; Settings'!$B$5,"Yes","No"),IF(E134="BECM 3208",IF(J134='Routine &amp; Settings'!$B$6,"Yes","No"),IF(E134="CE 3224",IF(J134='Routine &amp; Settings'!$B$7,"Yes","No"),IF(E134="BECM 3200",IF('Routine &amp; Settings'!$B$8="Odd Weeks",IF(MOD(C134,2)=1,"Yes","No"),IF(MOD(C134,2)=0,"Yes","No")),"Yes")))))</x:f>
        <x:v>Yes</x:v>
      </x:c>
    </x:row>
    <x:row r="135">
      <x:c r="A135" s="123" t="n">
        <x:v>46310</x:v>
      </x:c>
      <x:c r="B135" s="23" t="str">
        <x:v>Thu</x:v>
      </x:c>
      <x:c r="C135" s="23" t="n">
        <x:v>6</x:v>
      </x:c>
      <x:c r="D135" s="23" t="str">
        <x:v>Regular</x:v>
      </x:c>
      <x:c r="E135" s="23" t="str">
        <x:v>BECM 3201</x:v>
      </x:c>
      <x:c r="F135" s="173" t="str">
        <x:v>Construction and Project Management - II</x:v>
      </x:c>
      <x:c r="G135" s="23" t="str">
        <x:v>12:20 PM–01:10 PM</x:v>
      </x:c>
      <x:c r="H135" s="23" t="str">
        <x:v>MR/MRA</x:v>
      </x:c>
      <x:c r="I135" s="23" t="str">
        <x:v>406</x:v>
      </x:c>
      <x:c r="J135" s="23" t="str">
        <x:v>THURS P6</x:v>
      </x:c>
      <x:c r="K135" s="131" t="str"/>
      <x:c r="L135" s="143" t="str"/>
      <x:c r="M135" s="143" t="str"/>
      <x:c r="N135" s="143" t="str"/>
      <x:c r="O135" s="173" t="str"/>
      <x:c r="P135" s="159" t="str">
        <x:f>IF(COUNTIF('Routine &amp; Settings'!$I$5:$I$30,A135)&gt;0,"No",IF(E135="BECM 3204",IF(J135='Routine &amp; Settings'!$B$5,"Yes","No"),IF(E135="BECM 3208",IF(J135='Routine &amp; Settings'!$B$6,"Yes","No"),IF(E135="CE 3224",IF(J135='Routine &amp; Settings'!$B$7,"Yes","No"),IF(E135="BECM 3200",IF('Routine &amp; Settings'!$B$8="Odd Weeks",IF(MOD(C135,2)=1,"Yes","No"),IF(MOD(C135,2)=0,"Yes","No")),"Yes")))))</x:f>
        <x:v>Yes</x:v>
      </x:c>
    </x:row>
    <x:row r="136">
      <x:c r="A136" s="123" t="n">
        <x:v>46310</x:v>
      </x:c>
      <x:c r="B136" s="23" t="str">
        <x:v>Thu</x:v>
      </x:c>
      <x:c r="C136" s="23" t="n">
        <x:v>6</x:v>
      </x:c>
      <x:c r="D136" s="23" t="str">
        <x:v>Regular</x:v>
      </x:c>
      <x:c r="E136" s="23" t="str">
        <x:v>CE 3224</x:v>
      </x:c>
      <x:c r="F136" s="173" t="str">
        <x:v>Sessional on Soil Mechanics</x:v>
      </x:c>
      <x:c r="G136" s="23" t="str">
        <x:v>02:30 PM–05:00 PM</x:v>
      </x:c>
      <x:c r="H136" s="23" t="str">
        <x:v>MHI/MRA</x:v>
      </x:c>
      <x:c r="I136" s="23" t="str">
        <x:v>405</x:v>
      </x:c>
      <x:c r="J136" s="23" t="str">
        <x:v>Thu PM</x:v>
      </x:c>
      <x:c r="K136" s="131" t="str"/>
      <x:c r="L136" s="143" t="str"/>
      <x:c r="M136" s="143" t="str"/>
      <x:c r="N136" s="143" t="str"/>
      <x:c r="O136" s="173" t="str"/>
      <x:c r="P136" s="159" t="str">
        <x:f>IF(COUNTIF('Routine &amp; Settings'!$I$5:$I$30,A136)&gt;0,"No",IF(E136="BECM 3204",IF(J136='Routine &amp; Settings'!$B$5,"Yes","No"),IF(E136="BECM 3208",IF(J136='Routine &amp; Settings'!$B$6,"Yes","No"),IF(E136="CE 3224",IF(J136='Routine &amp; Settings'!$B$7,"Yes","No"),IF(E136="BECM 3200",IF('Routine &amp; Settings'!$B$8="Odd Weeks",IF(MOD(C136,2)=1,"Yes","No"),IF(MOD(C136,2)=0,"Yes","No")),"Yes")))))</x:f>
        <x:v>No</x:v>
      </x:c>
    </x:row>
    <x:row r="137">
      <x:c r="A137" s="123" t="n">
        <x:v>46320</x:v>
      </x:c>
      <x:c r="B137" s="23" t="str">
        <x:v>Sun</x:v>
      </x:c>
      <x:c r="C137" s="23" t="n">
        <x:v>7</x:v>
      </x:c>
      <x:c r="D137" s="23" t="str">
        <x:v>Regular</x:v>
      </x:c>
      <x:c r="E137" s="23" t="str">
        <x:v>CE 3213</x:v>
      </x:c>
      <x:c r="F137" s="173" t="str">
        <x:v>Reinforced Concrete Structures - II</x:v>
      </x:c>
      <x:c r="G137" s="23" t="str">
        <x:v>10:40 AM–11:30 AM</x:v>
      </x:c>
      <x:c r="H137" s="23" t="str">
        <x:v>HRS</x:v>
      </x:c>
      <x:c r="I137" s="23" t="str">
        <x:v>501</x:v>
      </x:c>
      <x:c r="J137" s="23" t="str">
        <x:v>SUN P4</x:v>
      </x:c>
      <x:c r="K137" s="131" t="str"/>
      <x:c r="L137" s="143" t="str"/>
      <x:c r="M137" s="143" t="str"/>
      <x:c r="N137" s="143" t="str"/>
      <x:c r="O137" s="173" t="str"/>
      <x:c r="P137" s="159" t="str">
        <x:f>IF(COUNTIF('Routine &amp; Settings'!$I$5:$I$30,A137)&gt;0,"No",IF(E137="BECM 3204",IF(J137='Routine &amp; Settings'!$B$5,"Yes","No"),IF(E137="BECM 3208",IF(J137='Routine &amp; Settings'!$B$6,"Yes","No"),IF(E137="CE 3224",IF(J137='Routine &amp; Settings'!$B$7,"Yes","No"),IF(E137="BECM 3200",IF('Routine &amp; Settings'!$B$8="Odd Weeks",IF(MOD(C137,2)=1,"Yes","No"),IF(MOD(C137,2)=0,"Yes","No")),"Yes")))))</x:f>
        <x:v>Yes</x:v>
      </x:c>
    </x:row>
    <x:row r="138">
      <x:c r="A138" s="123" t="n">
        <x:v>46320</x:v>
      </x:c>
      <x:c r="B138" s="23" t="str">
        <x:v>Sun</x:v>
      </x:c>
      <x:c r="C138" s="23" t="n">
        <x:v>7</x:v>
      </x:c>
      <x:c r="D138" s="23" t="str">
        <x:v>Regular</x:v>
      </x:c>
      <x:c r="E138" s="23" t="str">
        <x:v>CE 3223</x:v>
      </x:c>
      <x:c r="F138" s="173" t="str">
        <x:v>Soil Mechanics</x:v>
      </x:c>
      <x:c r="G138" s="23" t="str">
        <x:v>11:30 AM–12:20 PM</x:v>
      </x:c>
      <x:c r="H138" s="23" t="str">
        <x:v>MSA</x:v>
      </x:c>
      <x:c r="I138" s="23" t="str">
        <x:v>501</x:v>
      </x:c>
      <x:c r="J138" s="23" t="str">
        <x:v>SUN P5</x:v>
      </x:c>
      <x:c r="K138" s="131" t="str"/>
      <x:c r="L138" s="143" t="str"/>
      <x:c r="M138" s="143" t="str"/>
      <x:c r="N138" s="143" t="str"/>
      <x:c r="O138" s="173" t="str"/>
      <x:c r="P138" s="159" t="str">
        <x:f>IF(COUNTIF('Routine &amp; Settings'!$I$5:$I$30,A138)&gt;0,"No",IF(E138="BECM 3204",IF(J138='Routine &amp; Settings'!$B$5,"Yes","No"),IF(E138="BECM 3208",IF(J138='Routine &amp; Settings'!$B$6,"Yes","No"),IF(E138="CE 3224",IF(J138='Routine &amp; Settings'!$B$7,"Yes","No"),IF(E138="BECM 3200",IF('Routine &amp; Settings'!$B$8="Odd Weeks",IF(MOD(C138,2)=1,"Yes","No"),IF(MOD(C138,2)=0,"Yes","No")),"Yes")))))</x:f>
        <x:v>Yes</x:v>
      </x:c>
    </x:row>
    <x:row r="139">
      <x:c r="A139" s="123" t="n">
        <x:v>46320</x:v>
      </x:c>
      <x:c r="B139" s="23" t="str">
        <x:v>Sun</x:v>
      </x:c>
      <x:c r="C139" s="23" t="n">
        <x:v>7</x:v>
      </x:c>
      <x:c r="D139" s="23" t="str">
        <x:v>Regular</x:v>
      </x:c>
      <x:c r="E139" s="23" t="str">
        <x:v>CE 3211</x:v>
      </x:c>
      <x:c r="F139" s="173" t="str">
        <x:v>Structural Analysis and Design - II</x:v>
      </x:c>
      <x:c r="G139" s="23" t="str">
        <x:v>12:20 PM–01:10 PM</x:v>
      </x:c>
      <x:c r="H139" s="23" t="str">
        <x:v>MKI</x:v>
      </x:c>
      <x:c r="I139" s="23" t="str">
        <x:v>501</x:v>
      </x:c>
      <x:c r="J139" s="23" t="str">
        <x:v>SUN P6</x:v>
      </x:c>
      <x:c r="K139" s="131" t="str"/>
      <x:c r="L139" s="143" t="str"/>
      <x:c r="M139" s="143" t="str"/>
      <x:c r="N139" s="143" t="str"/>
      <x:c r="O139" s="173" t="str"/>
      <x:c r="P139" s="159" t="str">
        <x:f>IF(COUNTIF('Routine &amp; Settings'!$I$5:$I$30,A139)&gt;0,"No",IF(E139="BECM 3204",IF(J139='Routine &amp; Settings'!$B$5,"Yes","No"),IF(E139="BECM 3208",IF(J139='Routine &amp; Settings'!$B$6,"Yes","No"),IF(E139="CE 3224",IF(J139='Routine &amp; Settings'!$B$7,"Yes","No"),IF(E139="BECM 3200",IF('Routine &amp; Settings'!$B$8="Odd Weeks",IF(MOD(C139,2)=1,"Yes","No"),IF(MOD(C139,2)=0,"Yes","No")),"Yes")))))</x:f>
        <x:v>Yes</x:v>
      </x:c>
    </x:row>
    <x:row r="140">
      <x:c r="A140" s="123" t="n">
        <x:v>46320</x:v>
      </x:c>
      <x:c r="B140" s="23" t="str">
        <x:v>Sun</x:v>
      </x:c>
      <x:c r="C140" s="23" t="n">
        <x:v>7</x:v>
      </x:c>
      <x:c r="D140" s="23" t="str">
        <x:v>Regular</x:v>
      </x:c>
      <x:c r="E140" s="23" t="str">
        <x:v>BECM 3204</x:v>
      </x:c>
      <x:c r="F140" s="173" t="str">
        <x:v>Construction Techniques and Equipments - II</x:v>
      </x:c>
      <x:c r="G140" s="23" t="str">
        <x:v>02:30 PM–05:00 PM</x:v>
      </x:c>
      <x:c r="H140" s="23" t="str">
        <x:v>HRS/MR</x:v>
      </x:c>
      <x:c r="I140" s="23" t="str">
        <x:v>404</x:v>
      </x:c>
      <x:c r="J140" s="23" t="str">
        <x:v>Sun PM</x:v>
      </x:c>
      <x:c r="K140" s="131" t="str"/>
      <x:c r="L140" s="143" t="str"/>
      <x:c r="M140" s="143" t="str"/>
      <x:c r="N140" s="143" t="str"/>
      <x:c r="O140" s="173" t="str"/>
      <x:c r="P140" s="159" t="str">
        <x:f>IF(COUNTIF('Routine &amp; Settings'!$I$5:$I$30,A140)&gt;0,"No",IF(E140="BECM 3204",IF(J140='Routine &amp; Settings'!$B$5,"Yes","No"),IF(E140="BECM 3208",IF(J140='Routine &amp; Settings'!$B$6,"Yes","No"),IF(E140="CE 3224",IF(J140='Routine &amp; Settings'!$B$7,"Yes","No"),IF(E140="BECM 3200",IF('Routine &amp; Settings'!$B$8="Odd Weeks",IF(MOD(C140,2)=1,"Yes","No"),IF(MOD(C140,2)=0,"Yes","No")),"Yes")))))</x:f>
        <x:v>Yes</x:v>
      </x:c>
    </x:row>
    <x:row r="141">
      <x:c r="A141" s="123" t="n">
        <x:v>46321</x:v>
      </x:c>
      <x:c r="B141" s="23" t="str">
        <x:v>Mon</x:v>
      </x:c>
      <x:c r="C141" s="23" t="n">
        <x:v>7</x:v>
      </x:c>
      <x:c r="D141" s="23" t="str">
        <x:v>Regular</x:v>
      </x:c>
      <x:c r="E141" s="23" t="str">
        <x:v>CE 3223</x:v>
      </x:c>
      <x:c r="F141" s="173" t="str">
        <x:v>Soil Mechanics</x:v>
      </x:c>
      <x:c r="G141" s="23" t="str">
        <x:v>09:40 AM–10:30 AM</x:v>
      </x:c>
      <x:c r="H141" s="23" t="str">
        <x:v>MHI/MSA</x:v>
      </x:c>
      <x:c r="I141" s="23" t="str">
        <x:v>404</x:v>
      </x:c>
      <x:c r="J141" s="23" t="str">
        <x:v>MON P3</x:v>
      </x:c>
      <x:c r="K141" s="131" t="str"/>
      <x:c r="L141" s="143" t="str"/>
      <x:c r="M141" s="143" t="str"/>
      <x:c r="N141" s="143" t="str"/>
      <x:c r="O141" s="173" t="str"/>
      <x:c r="P141" s="159" t="str">
        <x:f>IF(COUNTIF('Routine &amp; Settings'!$I$5:$I$30,A141)&gt;0,"No",IF(E141="BECM 3204",IF(J141='Routine &amp; Settings'!$B$5,"Yes","No"),IF(E141="BECM 3208",IF(J141='Routine &amp; Settings'!$B$6,"Yes","No"),IF(E141="CE 3224",IF(J141='Routine &amp; Settings'!$B$7,"Yes","No"),IF(E141="BECM 3200",IF('Routine &amp; Settings'!$B$8="Odd Weeks",IF(MOD(C141,2)=1,"Yes","No"),IF(MOD(C141,2)=0,"Yes","No")),"Yes")))))</x:f>
        <x:v>Yes</x:v>
      </x:c>
    </x:row>
    <x:row r="142">
      <x:c r="A142" s="123" t="n">
        <x:v>46321</x:v>
      </x:c>
      <x:c r="B142" s="23" t="str">
        <x:v>Mon</x:v>
      </x:c>
      <x:c r="C142" s="23" t="n">
        <x:v>7</x:v>
      </x:c>
      <x:c r="D142" s="23" t="str">
        <x:v>Regular</x:v>
      </x:c>
      <x:c r="E142" s="23" t="str">
        <x:v>BECM 3201</x:v>
      </x:c>
      <x:c r="F142" s="173" t="str">
        <x:v>Construction and Project Management - II</x:v>
      </x:c>
      <x:c r="G142" s="23" t="str">
        <x:v>11:30 AM–12:20 PM</x:v>
      </x:c>
      <x:c r="H142" s="23" t="str">
        <x:v>MR</x:v>
      </x:c>
      <x:c r="I142" s="23" t="str">
        <x:v>405</x:v>
      </x:c>
      <x:c r="J142" s="23" t="str">
        <x:v>MON P5</x:v>
      </x:c>
      <x:c r="K142" s="131" t="str"/>
      <x:c r="L142" s="143" t="str"/>
      <x:c r="M142" s="143" t="str"/>
      <x:c r="N142" s="143" t="str"/>
      <x:c r="O142" s="173" t="str"/>
      <x:c r="P142" s="159" t="str">
        <x:f>IF(COUNTIF('Routine &amp; Settings'!$I$5:$I$30,A142)&gt;0,"No",IF(E142="BECM 3204",IF(J142='Routine &amp; Settings'!$B$5,"Yes","No"),IF(E142="BECM 3208",IF(J142='Routine &amp; Settings'!$B$6,"Yes","No"),IF(E142="CE 3224",IF(J142='Routine &amp; Settings'!$B$7,"Yes","No"),IF(E142="BECM 3200",IF('Routine &amp; Settings'!$B$8="Odd Weeks",IF(MOD(C142,2)=1,"Yes","No"),IF(MOD(C142,2)=0,"Yes","No")),"Yes")))))</x:f>
        <x:v>Yes</x:v>
      </x:c>
    </x:row>
    <x:row r="143">
      <x:c r="A143" s="123" t="n">
        <x:v>46321</x:v>
      </x:c>
      <x:c r="B143" s="23" t="str">
        <x:v>Mon</x:v>
      </x:c>
      <x:c r="C143" s="23" t="n">
        <x:v>7</x:v>
      </x:c>
      <x:c r="D143" s="23" t="str">
        <x:v>Regular</x:v>
      </x:c>
      <x:c r="E143" s="23" t="str">
        <x:v>BECM 3205</x:v>
      </x:c>
      <x:c r="F143" s="173" t="str">
        <x:v>Acoustics and Lighting</x:v>
      </x:c>
      <x:c r="G143" s="23" t="str">
        <x:v>12:20 PM–01:10 PM</x:v>
      </x:c>
      <x:c r="H143" s="23" t="str">
        <x:v>AAM</x:v>
      </x:c>
      <x:c r="I143" s="23" t="str">
        <x:v>405</x:v>
      </x:c>
      <x:c r="J143" s="23" t="str">
        <x:v>MON P6</x:v>
      </x:c>
      <x:c r="K143" s="131" t="str"/>
      <x:c r="L143" s="143" t="str"/>
      <x:c r="M143" s="143" t="str"/>
      <x:c r="N143" s="143" t="str"/>
      <x:c r="O143" s="173" t="str"/>
      <x:c r="P143" s="159" t="str">
        <x:f>IF(COUNTIF('Routine &amp; Settings'!$I$5:$I$30,A143)&gt;0,"No",IF(E143="BECM 3204",IF(J143='Routine &amp; Settings'!$B$5,"Yes","No"),IF(E143="BECM 3208",IF(J143='Routine &amp; Settings'!$B$6,"Yes","No"),IF(E143="CE 3224",IF(J143='Routine &amp; Settings'!$B$7,"Yes","No"),IF(E143="BECM 3200",IF('Routine &amp; Settings'!$B$8="Odd Weeks",IF(MOD(C143,2)=1,"Yes","No"),IF(MOD(C143,2)=0,"Yes","No")),"Yes")))))</x:f>
        <x:v>Yes</x:v>
      </x:c>
    </x:row>
    <x:row r="144">
      <x:c r="A144" s="123" t="n">
        <x:v>46321</x:v>
      </x:c>
      <x:c r="B144" s="23" t="str">
        <x:v>Mon</x:v>
      </x:c>
      <x:c r="C144" s="23" t="n">
        <x:v>7</x:v>
      </x:c>
      <x:c r="D144" s="23" t="str">
        <x:v>Regular</x:v>
      </x:c>
      <x:c r="E144" s="23" t="str">
        <x:v>BECM 3200</x:v>
      </x:c>
      <x:c r="F144" s="173" t="str">
        <x:v>Project and Seminar</x:v>
      </x:c>
      <x:c r="G144" s="23" t="str">
        <x:v>02:30 PM–05:00 PM</x:v>
      </x:c>
      <x:c r="H144" s="23" t="str">
        <x:v>ALL</x:v>
      </x:c>
      <x:c r="I144" s="23" t="str"/>
      <x:c r="J144" s="23" t="str">
        <x:v>Mon PM</x:v>
      </x:c>
      <x:c r="K144" s="131" t="str"/>
      <x:c r="L144" s="143" t="str"/>
      <x:c r="M144" s="143" t="str"/>
      <x:c r="N144" s="143" t="str"/>
      <x:c r="O144" s="173" t="str"/>
      <x:c r="P144" s="159" t="str">
        <x:f>IF(COUNTIF('Routine &amp; Settings'!$I$5:$I$30,A144)&gt;0,"No",IF(E144="BECM 3204",IF(J144='Routine &amp; Settings'!$B$5,"Yes","No"),IF(E144="BECM 3208",IF(J144='Routine &amp; Settings'!$B$6,"Yes","No"),IF(E144="CE 3224",IF(J144='Routine &amp; Settings'!$B$7,"Yes","No"),IF(E144="BECM 3200",IF('Routine &amp; Settings'!$B$8="Odd Weeks",IF(MOD(C144,2)=1,"Yes","No"),IF(MOD(C144,2)=0,"Yes","No")),"Yes")))))</x:f>
        <x:v>Yes</x:v>
      </x:c>
    </x:row>
    <x:row r="145">
      <x:c r="A145" s="123" t="n">
        <x:v>46322</x:v>
      </x:c>
      <x:c r="B145" s="23" t="str">
        <x:v>Tue</x:v>
      </x:c>
      <x:c r="C145" s="23" t="n">
        <x:v>7</x:v>
      </x:c>
      <x:c r="D145" s="23" t="str">
        <x:v>Regular</x:v>
      </x:c>
      <x:c r="E145" s="23" t="str">
        <x:v>CE 3224</x:v>
      </x:c>
      <x:c r="F145" s="173" t="str">
        <x:v>Sessional on Soil Mechanics</x:v>
      </x:c>
      <x:c r="G145" s="23" t="str">
        <x:v>08:00 AM–10:30 AM</x:v>
      </x:c>
      <x:c r="H145" s="23" t="str">
        <x:v>MHI/MRA</x:v>
      </x:c>
      <x:c r="I145" s="23" t="str"/>
      <x:c r="J145" s="23" t="str">
        <x:v>Tue AM</x:v>
      </x:c>
      <x:c r="K145" s="131" t="str"/>
      <x:c r="L145" s="143" t="str"/>
      <x:c r="M145" s="143" t="str"/>
      <x:c r="N145" s="143" t="str"/>
      <x:c r="O145" s="173" t="str"/>
      <x:c r="P145" s="159" t="str">
        <x:f>IF(COUNTIF('Routine &amp; Settings'!$I$5:$I$30,A145)&gt;0,"No",IF(E145="BECM 3204",IF(J145='Routine &amp; Settings'!$B$5,"Yes","No"),IF(E145="BECM 3208",IF(J145='Routine &amp; Settings'!$B$6,"Yes","No"),IF(E145="CE 3224",IF(J145='Routine &amp; Settings'!$B$7,"Yes","No"),IF(E145="BECM 3200",IF('Routine &amp; Settings'!$B$8="Odd Weeks",IF(MOD(C145,2)=1,"Yes","No"),IF(MOD(C145,2)=0,"Yes","No")),"Yes")))))</x:f>
        <x:v>Yes</x:v>
      </x:c>
    </x:row>
    <x:row r="146">
      <x:c r="A146" s="123" t="n">
        <x:v>46322</x:v>
      </x:c>
      <x:c r="B146" s="23" t="str">
        <x:v>Tue</x:v>
      </x:c>
      <x:c r="C146" s="23" t="n">
        <x:v>7</x:v>
      </x:c>
      <x:c r="D146" s="23" t="str">
        <x:v>Regular</x:v>
      </x:c>
      <x:c r="E146" s="23" t="str">
        <x:v>CE 3213</x:v>
      </x:c>
      <x:c r="F146" s="173" t="str">
        <x:v>Reinforced Concrete Structures - II</x:v>
      </x:c>
      <x:c r="G146" s="23" t="str">
        <x:v>11:30 AM–12:20 PM</x:v>
      </x:c>
      <x:c r="H146" s="23" t="str">
        <x:v>MKI</x:v>
      </x:c>
      <x:c r="I146" s="23" t="str">
        <x:v>405</x:v>
      </x:c>
      <x:c r="J146" s="23" t="str">
        <x:v>TUES P5</x:v>
      </x:c>
      <x:c r="K146" s="131" t="str"/>
      <x:c r="L146" s="143" t="str"/>
      <x:c r="M146" s="143" t="str"/>
      <x:c r="N146" s="143" t="str"/>
      <x:c r="O146" s="173" t="str"/>
      <x:c r="P146" s="159" t="str">
        <x:f>IF(COUNTIF('Routine &amp; Settings'!$I$5:$I$30,A146)&gt;0,"No",IF(E146="BECM 3204",IF(J146='Routine &amp; Settings'!$B$5,"Yes","No"),IF(E146="BECM 3208",IF(J146='Routine &amp; Settings'!$B$6,"Yes","No"),IF(E146="CE 3224",IF(J146='Routine &amp; Settings'!$B$7,"Yes","No"),IF(E146="BECM 3200",IF('Routine &amp; Settings'!$B$8="Odd Weeks",IF(MOD(C146,2)=1,"Yes","No"),IF(MOD(C146,2)=0,"Yes","No")),"Yes")))))</x:f>
        <x:v>Yes</x:v>
      </x:c>
    </x:row>
    <x:row r="147">
      <x:c r="A147" s="123" t="n">
        <x:v>46322</x:v>
      </x:c>
      <x:c r="B147" s="23" t="str">
        <x:v>Tue</x:v>
      </x:c>
      <x:c r="C147" s="23" t="n">
        <x:v>7</x:v>
      </x:c>
      <x:c r="D147" s="23" t="str">
        <x:v>Regular</x:v>
      </x:c>
      <x:c r="E147" s="23" t="str">
        <x:v>BECM 3201</x:v>
      </x:c>
      <x:c r="F147" s="173" t="str">
        <x:v>Construction and Project Management - II</x:v>
      </x:c>
      <x:c r="G147" s="23" t="str">
        <x:v>12:20 PM–01:10 PM</x:v>
      </x:c>
      <x:c r="H147" s="23" t="str">
        <x:v>MRA</x:v>
      </x:c>
      <x:c r="I147" s="23" t="str">
        <x:v>405</x:v>
      </x:c>
      <x:c r="J147" s="23" t="str">
        <x:v>TUES P6</x:v>
      </x:c>
      <x:c r="K147" s="131" t="str"/>
      <x:c r="L147" s="143" t="str"/>
      <x:c r="M147" s="143" t="str"/>
      <x:c r="N147" s="143" t="str"/>
      <x:c r="O147" s="173" t="str"/>
      <x:c r="P147" s="159" t="str">
        <x:f>IF(COUNTIF('Routine &amp; Settings'!$I$5:$I$30,A147)&gt;0,"No",IF(E147="BECM 3204",IF(J147='Routine &amp; Settings'!$B$5,"Yes","No"),IF(E147="BECM 3208",IF(J147='Routine &amp; Settings'!$B$6,"Yes","No"),IF(E147="CE 3224",IF(J147='Routine &amp; Settings'!$B$7,"Yes","No"),IF(E147="BECM 3200",IF('Routine &amp; Settings'!$B$8="Odd Weeks",IF(MOD(C147,2)=1,"Yes","No"),IF(MOD(C147,2)=0,"Yes","No")),"Yes")))))</x:f>
        <x:v>Yes</x:v>
      </x:c>
    </x:row>
    <x:row r="148">
      <x:c r="A148" s="123" t="n">
        <x:v>46322</x:v>
      </x:c>
      <x:c r="B148" s="23" t="str">
        <x:v>Tue</x:v>
      </x:c>
      <x:c r="C148" s="23" t="n">
        <x:v>7</x:v>
      </x:c>
      <x:c r="D148" s="23" t="str">
        <x:v>Regular</x:v>
      </x:c>
      <x:c r="E148" s="23" t="str">
        <x:v>BECM 3208</x:v>
      </x:c>
      <x:c r="F148" s="173" t="str">
        <x:v>Landscape Design</x:v>
      </x:c>
      <x:c r="G148" s="23" t="str">
        <x:v>02:30 PM–05:00 PM</x:v>
      </x:c>
      <x:c r="H148" s="23" t="str">
        <x:v>MSH/MSA</x:v>
      </x:c>
      <x:c r="I148" s="23" t="str"/>
      <x:c r="J148" s="23" t="str">
        <x:v>Tue PM</x:v>
      </x:c>
      <x:c r="K148" s="131" t="str"/>
      <x:c r="L148" s="143" t="str"/>
      <x:c r="M148" s="143" t="str"/>
      <x:c r="N148" s="143" t="str"/>
      <x:c r="O148" s="173" t="str"/>
      <x:c r="P148" s="159" t="str">
        <x:f>IF(COUNTIF('Routine &amp; Settings'!$I$5:$I$30,A148)&gt;0,"No",IF(E148="BECM 3204",IF(J148='Routine &amp; Settings'!$B$5,"Yes","No"),IF(E148="BECM 3208",IF(J148='Routine &amp; Settings'!$B$6,"Yes","No"),IF(E148="CE 3224",IF(J148='Routine &amp; Settings'!$B$7,"Yes","No"),IF(E148="BECM 3200",IF('Routine &amp; Settings'!$B$8="Odd Weeks",IF(MOD(C148,2)=1,"Yes","No"),IF(MOD(C148,2)=0,"Yes","No")),"Yes")))))</x:f>
        <x:v>Yes</x:v>
      </x:c>
    </x:row>
    <x:row r="149">
      <x:c r="A149" s="123" t="n">
        <x:v>46323</x:v>
      </x:c>
      <x:c r="B149" s="23" t="str">
        <x:v>Wed</x:v>
      </x:c>
      <x:c r="C149" s="23" t="n">
        <x:v>7</x:v>
      </x:c>
      <x:c r="D149" s="23" t="str">
        <x:v>Regular</x:v>
      </x:c>
      <x:c r="E149" s="23" t="str">
        <x:v>CE 3213</x:v>
      </x:c>
      <x:c r="F149" s="173" t="str">
        <x:v>Reinforced Concrete Structures - II</x:v>
      </x:c>
      <x:c r="G149" s="23" t="str">
        <x:v>09:40 AM–10:30 AM</x:v>
      </x:c>
      <x:c r="H149" s="23" t="str">
        <x:v>HRS/MKI</x:v>
      </x:c>
      <x:c r="I149" s="23" t="str">
        <x:v>501</x:v>
      </x:c>
      <x:c r="J149" s="23" t="str">
        <x:v>WED P3</x:v>
      </x:c>
      <x:c r="K149" s="131" t="str"/>
      <x:c r="L149" s="143" t="str"/>
      <x:c r="M149" s="143" t="str"/>
      <x:c r="N149" s="143" t="str"/>
      <x:c r="O149" s="173" t="str"/>
      <x:c r="P149" s="159" t="str">
        <x:f>IF(COUNTIF('Routine &amp; Settings'!$I$5:$I$30,A149)&gt;0,"No",IF(E149="BECM 3204",IF(J149='Routine &amp; Settings'!$B$5,"Yes","No"),IF(E149="BECM 3208",IF(J149='Routine &amp; Settings'!$B$6,"Yes","No"),IF(E149="CE 3224",IF(J149='Routine &amp; Settings'!$B$7,"Yes","No"),IF(E149="BECM 3200",IF('Routine &amp; Settings'!$B$8="Odd Weeks",IF(MOD(C149,2)=1,"Yes","No"),IF(MOD(C149,2)=0,"Yes","No")),"Yes")))))</x:f>
        <x:v>Yes</x:v>
      </x:c>
    </x:row>
    <x:row r="150">
      <x:c r="A150" s="123" t="n">
        <x:v>46323</x:v>
      </x:c>
      <x:c r="B150" s="23" t="str">
        <x:v>Wed</x:v>
      </x:c>
      <x:c r="C150" s="23" t="n">
        <x:v>7</x:v>
      </x:c>
      <x:c r="D150" s="23" t="str">
        <x:v>Regular</x:v>
      </x:c>
      <x:c r="E150" s="23" t="str">
        <x:v>CE 3211</x:v>
      </x:c>
      <x:c r="F150" s="173" t="str">
        <x:v>Structural Analysis and Design - II</x:v>
      </x:c>
      <x:c r="G150" s="23" t="str">
        <x:v>10:40 AM–11:30 AM</x:v>
      </x:c>
      <x:c r="H150" s="23" t="str">
        <x:v>ATB</x:v>
      </x:c>
      <x:c r="I150" s="23" t="str">
        <x:v>501</x:v>
      </x:c>
      <x:c r="J150" s="23" t="str">
        <x:v>WED P4</x:v>
      </x:c>
      <x:c r="K150" s="131" t="str"/>
      <x:c r="L150" s="143" t="str"/>
      <x:c r="M150" s="143" t="str"/>
      <x:c r="N150" s="143" t="str"/>
      <x:c r="O150" s="173" t="str"/>
      <x:c r="P150" s="159" t="str">
        <x:f>IF(COUNTIF('Routine &amp; Settings'!$I$5:$I$30,A150)&gt;0,"No",IF(E150="BECM 3204",IF(J150='Routine &amp; Settings'!$B$5,"Yes","No"),IF(E150="BECM 3208",IF(J150='Routine &amp; Settings'!$B$6,"Yes","No"),IF(E150="CE 3224",IF(J150='Routine &amp; Settings'!$B$7,"Yes","No"),IF(E150="BECM 3200",IF('Routine &amp; Settings'!$B$8="Odd Weeks",IF(MOD(C150,2)=1,"Yes","No"),IF(MOD(C150,2)=0,"Yes","No")),"Yes")))))</x:f>
        <x:v>Yes</x:v>
      </x:c>
    </x:row>
    <x:row r="151">
      <x:c r="A151" s="123" t="n">
        <x:v>46323</x:v>
      </x:c>
      <x:c r="B151" s="23" t="str">
        <x:v>Wed</x:v>
      </x:c>
      <x:c r="C151" s="23" t="n">
        <x:v>7</x:v>
      </x:c>
      <x:c r="D151" s="23" t="str">
        <x:v>Regular</x:v>
      </x:c>
      <x:c r="E151" s="23" t="str">
        <x:v>CE 3223</x:v>
      </x:c>
      <x:c r="F151" s="173" t="str">
        <x:v>Soil Mechanics</x:v>
      </x:c>
      <x:c r="G151" s="23" t="str">
        <x:v>11:30 AM–12:20 PM</x:v>
      </x:c>
      <x:c r="H151" s="23" t="str">
        <x:v>MHI</x:v>
      </x:c>
      <x:c r="I151" s="23" t="str">
        <x:v>501</x:v>
      </x:c>
      <x:c r="J151" s="23" t="str">
        <x:v>WED P5</x:v>
      </x:c>
      <x:c r="K151" s="131" t="str"/>
      <x:c r="L151" s="143" t="str"/>
      <x:c r="M151" s="143" t="str"/>
      <x:c r="N151" s="143" t="str"/>
      <x:c r="O151" s="173" t="str"/>
      <x:c r="P151" s="159" t="str">
        <x:f>IF(COUNTIF('Routine &amp; Settings'!$I$5:$I$30,A151)&gt;0,"No",IF(E151="BECM 3204",IF(J151='Routine &amp; Settings'!$B$5,"Yes","No"),IF(E151="BECM 3208",IF(J151='Routine &amp; Settings'!$B$6,"Yes","No"),IF(E151="CE 3224",IF(J151='Routine &amp; Settings'!$B$7,"Yes","No"),IF(E151="BECM 3200",IF('Routine &amp; Settings'!$B$8="Odd Weeks",IF(MOD(C151,2)=1,"Yes","No"),IF(MOD(C151,2)=0,"Yes","No")),"Yes")))))</x:f>
        <x:v>Yes</x:v>
      </x:c>
    </x:row>
    <x:row r="152">
      <x:c r="A152" s="123" t="n">
        <x:v>46323</x:v>
      </x:c>
      <x:c r="B152" s="23" t="str">
        <x:v>Wed</x:v>
      </x:c>
      <x:c r="C152" s="23" t="n">
        <x:v>7</x:v>
      </x:c>
      <x:c r="D152" s="23" t="str">
        <x:v>Regular</x:v>
      </x:c>
      <x:c r="E152" s="23" t="str">
        <x:v>BECM 3205</x:v>
      </x:c>
      <x:c r="F152" s="173" t="str">
        <x:v>Acoustics and Lighting</x:v>
      </x:c>
      <x:c r="G152" s="23" t="str">
        <x:v>12:20 PM–01:10 PM</x:v>
      </x:c>
      <x:c r="H152" s="23" t="str">
        <x:v>MSH/AAM</x:v>
      </x:c>
      <x:c r="I152" s="23" t="str">
        <x:v>501</x:v>
      </x:c>
      <x:c r="J152" s="23" t="str">
        <x:v>WED P6</x:v>
      </x:c>
      <x:c r="K152" s="131" t="str"/>
      <x:c r="L152" s="143" t="str"/>
      <x:c r="M152" s="143" t="str"/>
      <x:c r="N152" s="143" t="str"/>
      <x:c r="O152" s="173" t="str"/>
      <x:c r="P152" s="159" t="str">
        <x:f>IF(COUNTIF('Routine &amp; Settings'!$I$5:$I$30,A152)&gt;0,"No",IF(E152="BECM 3204",IF(J152='Routine &amp; Settings'!$B$5,"Yes","No"),IF(E152="BECM 3208",IF(J152='Routine &amp; Settings'!$B$6,"Yes","No"),IF(E152="CE 3224",IF(J152='Routine &amp; Settings'!$B$7,"Yes","No"),IF(E152="BECM 3200",IF('Routine &amp; Settings'!$B$8="Odd Weeks",IF(MOD(C152,2)=1,"Yes","No"),IF(MOD(C152,2)=0,"Yes","No")),"Yes")))))</x:f>
        <x:v>Yes</x:v>
      </x:c>
    </x:row>
    <x:row r="153">
      <x:c r="A153" s="123" t="n">
        <x:v>46323</x:v>
      </x:c>
      <x:c r="B153" s="23" t="str">
        <x:v>Wed</x:v>
      </x:c>
      <x:c r="C153" s="23" t="n">
        <x:v>7</x:v>
      </x:c>
      <x:c r="D153" s="23" t="str">
        <x:v>Regular</x:v>
      </x:c>
      <x:c r="E153" s="23" t="str">
        <x:v>BECM 3208</x:v>
      </x:c>
      <x:c r="F153" s="173" t="str">
        <x:v>Landscape Design</x:v>
      </x:c>
      <x:c r="G153" s="23" t="str">
        <x:v>02:30 PM–05:00 PM</x:v>
      </x:c>
      <x:c r="H153" s="23" t="str">
        <x:v>MSH/MSA</x:v>
      </x:c>
      <x:c r="I153" s="23" t="str">
        <x:v>501</x:v>
      </x:c>
      <x:c r="J153" s="23" t="str">
        <x:v>Wed PM</x:v>
      </x:c>
      <x:c r="K153" s="131" t="str"/>
      <x:c r="L153" s="143" t="str"/>
      <x:c r="M153" s="143" t="str"/>
      <x:c r="N153" s="143" t="str"/>
      <x:c r="O153" s="173" t="str"/>
      <x:c r="P153" s="159" t="str">
        <x:f>IF(COUNTIF('Routine &amp; Settings'!$I$5:$I$30,A153)&gt;0,"No",IF(E153="BECM 3204",IF(J153='Routine &amp; Settings'!$B$5,"Yes","No"),IF(E153="BECM 3208",IF(J153='Routine &amp; Settings'!$B$6,"Yes","No"),IF(E153="CE 3224",IF(J153='Routine &amp; Settings'!$B$7,"Yes","No"),IF(E153="BECM 3200",IF('Routine &amp; Settings'!$B$8="Odd Weeks",IF(MOD(C153,2)=1,"Yes","No"),IF(MOD(C153,2)=0,"Yes","No")),"Yes")))))</x:f>
        <x:v>No</x:v>
      </x:c>
    </x:row>
    <x:row r="154">
      <x:c r="A154" s="123" t="n">
        <x:v>46324</x:v>
      </x:c>
      <x:c r="B154" s="23" t="str">
        <x:v>Thu</x:v>
      </x:c>
      <x:c r="C154" s="23" t="n">
        <x:v>7</x:v>
      </x:c>
      <x:c r="D154" s="23" t="str">
        <x:v>Regular</x:v>
      </x:c>
      <x:c r="E154" s="23" t="str">
        <x:v>BECM 3204</x:v>
      </x:c>
      <x:c r="F154" s="173" t="str">
        <x:v>Construction Techniques and Equipments - II</x:v>
      </x:c>
      <x:c r="G154" s="23" t="str">
        <x:v>08:00 AM–10:30 AM</x:v>
      </x:c>
      <x:c r="H154" s="23" t="str">
        <x:v>HRS/MR</x:v>
      </x:c>
      <x:c r="I154" s="23" t="str"/>
      <x:c r="J154" s="23" t="str">
        <x:v>Thu AM</x:v>
      </x:c>
      <x:c r="K154" s="131" t="str"/>
      <x:c r="L154" s="143" t="str"/>
      <x:c r="M154" s="143" t="str"/>
      <x:c r="N154" s="143" t="str"/>
      <x:c r="O154" s="173" t="str"/>
      <x:c r="P154" s="159" t="str">
        <x:f>IF(COUNTIF('Routine &amp; Settings'!$I$5:$I$30,A154)&gt;0,"No",IF(E154="BECM 3204",IF(J154='Routine &amp; Settings'!$B$5,"Yes","No"),IF(E154="BECM 3208",IF(J154='Routine &amp; Settings'!$B$6,"Yes","No"),IF(E154="CE 3224",IF(J154='Routine &amp; Settings'!$B$7,"Yes","No"),IF(E154="BECM 3200",IF('Routine &amp; Settings'!$B$8="Odd Weeks",IF(MOD(C154,2)=1,"Yes","No"),IF(MOD(C154,2)=0,"Yes","No")),"Yes")))))</x:f>
        <x:v>No</x:v>
      </x:c>
    </x:row>
    <x:row r="155">
      <x:c r="A155" s="123" t="n">
        <x:v>46324</x:v>
      </x:c>
      <x:c r="B155" s="23" t="str">
        <x:v>Thu</x:v>
      </x:c>
      <x:c r="C155" s="23" t="n">
        <x:v>7</x:v>
      </x:c>
      <x:c r="D155" s="23" t="str">
        <x:v>Regular</x:v>
      </x:c>
      <x:c r="E155" s="23" t="str">
        <x:v>BECM 3205</x:v>
      </x:c>
      <x:c r="F155" s="173" t="str">
        <x:v>Acoustics and Lighting</x:v>
      </x:c>
      <x:c r="G155" s="23" t="str">
        <x:v>10:40 AM–11:30 AM</x:v>
      </x:c>
      <x:c r="H155" s="23" t="str">
        <x:v>MSH</x:v>
      </x:c>
      <x:c r="I155" s="23" t="str">
        <x:v>406</x:v>
      </x:c>
      <x:c r="J155" s="23" t="str">
        <x:v>THURS P4</x:v>
      </x:c>
      <x:c r="K155" s="131" t="str"/>
      <x:c r="L155" s="143" t="str"/>
      <x:c r="M155" s="143" t="str"/>
      <x:c r="N155" s="143" t="str"/>
      <x:c r="O155" s="173" t="str"/>
      <x:c r="P155" s="159" t="str">
        <x:f>IF(COUNTIF('Routine &amp; Settings'!$I$5:$I$30,A155)&gt;0,"No",IF(E155="BECM 3204",IF(J155='Routine &amp; Settings'!$B$5,"Yes","No"),IF(E155="BECM 3208",IF(J155='Routine &amp; Settings'!$B$6,"Yes","No"),IF(E155="CE 3224",IF(J155='Routine &amp; Settings'!$B$7,"Yes","No"),IF(E155="BECM 3200",IF('Routine &amp; Settings'!$B$8="Odd Weeks",IF(MOD(C155,2)=1,"Yes","No"),IF(MOD(C155,2)=0,"Yes","No")),"Yes")))))</x:f>
        <x:v>Yes</x:v>
      </x:c>
    </x:row>
    <x:row r="156">
      <x:c r="A156" s="123" t="n">
        <x:v>46324</x:v>
      </x:c>
      <x:c r="B156" s="23" t="str">
        <x:v>Thu</x:v>
      </x:c>
      <x:c r="C156" s="23" t="n">
        <x:v>7</x:v>
      </x:c>
      <x:c r="D156" s="23" t="str">
        <x:v>Regular</x:v>
      </x:c>
      <x:c r="E156" s="23" t="str">
        <x:v>CE 3211</x:v>
      </x:c>
      <x:c r="F156" s="173" t="str">
        <x:v>Structural Analysis and Design - II</x:v>
      </x:c>
      <x:c r="G156" s="23" t="str">
        <x:v>11:30 AM–12:20 PM</x:v>
      </x:c>
      <x:c r="H156" s="23" t="str">
        <x:v>MKI/ATB</x:v>
      </x:c>
      <x:c r="I156" s="23" t="str">
        <x:v>406</x:v>
      </x:c>
      <x:c r="J156" s="23" t="str">
        <x:v>THURS P5</x:v>
      </x:c>
      <x:c r="K156" s="131" t="str"/>
      <x:c r="L156" s="143" t="str"/>
      <x:c r="M156" s="143" t="str"/>
      <x:c r="N156" s="143" t="str"/>
      <x:c r="O156" s="173" t="str"/>
      <x:c r="P156" s="159" t="str">
        <x:f>IF(COUNTIF('Routine &amp; Settings'!$I$5:$I$30,A156)&gt;0,"No",IF(E156="BECM 3204",IF(J156='Routine &amp; Settings'!$B$5,"Yes","No"),IF(E156="BECM 3208",IF(J156='Routine &amp; Settings'!$B$6,"Yes","No"),IF(E156="CE 3224",IF(J156='Routine &amp; Settings'!$B$7,"Yes","No"),IF(E156="BECM 3200",IF('Routine &amp; Settings'!$B$8="Odd Weeks",IF(MOD(C156,2)=1,"Yes","No"),IF(MOD(C156,2)=0,"Yes","No")),"Yes")))))</x:f>
        <x:v>Yes</x:v>
      </x:c>
    </x:row>
    <x:row r="157">
      <x:c r="A157" s="123" t="n">
        <x:v>46324</x:v>
      </x:c>
      <x:c r="B157" s="23" t="str">
        <x:v>Thu</x:v>
      </x:c>
      <x:c r="C157" s="23" t="n">
        <x:v>7</x:v>
      </x:c>
      <x:c r="D157" s="23" t="str">
        <x:v>Regular</x:v>
      </x:c>
      <x:c r="E157" s="23" t="str">
        <x:v>BECM 3201</x:v>
      </x:c>
      <x:c r="F157" s="173" t="str">
        <x:v>Construction and Project Management - II</x:v>
      </x:c>
      <x:c r="G157" s="23" t="str">
        <x:v>12:20 PM–01:10 PM</x:v>
      </x:c>
      <x:c r="H157" s="23" t="str">
        <x:v>MR/MRA</x:v>
      </x:c>
      <x:c r="I157" s="23" t="str">
        <x:v>406</x:v>
      </x:c>
      <x:c r="J157" s="23" t="str">
        <x:v>THURS P6</x:v>
      </x:c>
      <x:c r="K157" s="131" t="str"/>
      <x:c r="L157" s="143" t="str"/>
      <x:c r="M157" s="143" t="str"/>
      <x:c r="N157" s="143" t="str"/>
      <x:c r="O157" s="173" t="str"/>
      <x:c r="P157" s="159" t="str">
        <x:f>IF(COUNTIF('Routine &amp; Settings'!$I$5:$I$30,A157)&gt;0,"No",IF(E157="BECM 3204",IF(J157='Routine &amp; Settings'!$B$5,"Yes","No"),IF(E157="BECM 3208",IF(J157='Routine &amp; Settings'!$B$6,"Yes","No"),IF(E157="CE 3224",IF(J157='Routine &amp; Settings'!$B$7,"Yes","No"),IF(E157="BECM 3200",IF('Routine &amp; Settings'!$B$8="Odd Weeks",IF(MOD(C157,2)=1,"Yes","No"),IF(MOD(C157,2)=0,"Yes","No")),"Yes")))))</x:f>
        <x:v>Yes</x:v>
      </x:c>
    </x:row>
    <x:row r="158">
      <x:c r="A158" s="123" t="n">
        <x:v>46324</x:v>
      </x:c>
      <x:c r="B158" s="23" t="str">
        <x:v>Thu</x:v>
      </x:c>
      <x:c r="C158" s="23" t="n">
        <x:v>7</x:v>
      </x:c>
      <x:c r="D158" s="23" t="str">
        <x:v>Regular</x:v>
      </x:c>
      <x:c r="E158" s="23" t="str">
        <x:v>CE 3224</x:v>
      </x:c>
      <x:c r="F158" s="173" t="str">
        <x:v>Sessional on Soil Mechanics</x:v>
      </x:c>
      <x:c r="G158" s="23" t="str">
        <x:v>02:30 PM–05:00 PM</x:v>
      </x:c>
      <x:c r="H158" s="23" t="str">
        <x:v>MHI/MRA</x:v>
      </x:c>
      <x:c r="I158" s="23" t="str">
        <x:v>405</x:v>
      </x:c>
      <x:c r="J158" s="23" t="str">
        <x:v>Thu PM</x:v>
      </x:c>
      <x:c r="K158" s="131" t="str"/>
      <x:c r="L158" s="143" t="str"/>
      <x:c r="M158" s="143" t="str"/>
      <x:c r="N158" s="143" t="str"/>
      <x:c r="O158" s="173" t="str"/>
      <x:c r="P158" s="159" t="str">
        <x:f>IF(COUNTIF('Routine &amp; Settings'!$I$5:$I$30,A158)&gt;0,"No",IF(E158="BECM 3204",IF(J158='Routine &amp; Settings'!$B$5,"Yes","No"),IF(E158="BECM 3208",IF(J158='Routine &amp; Settings'!$B$6,"Yes","No"),IF(E158="CE 3224",IF(J158='Routine &amp; Settings'!$B$7,"Yes","No"),IF(E158="BECM 3200",IF('Routine &amp; Settings'!$B$8="Odd Weeks",IF(MOD(C158,2)=1,"Yes","No"),IF(MOD(C158,2)=0,"Yes","No")),"Yes")))))</x:f>
        <x:v>No</x:v>
      </x:c>
    </x:row>
    <x:row r="159">
      <x:c r="A159" s="123" t="n">
        <x:v>46327</x:v>
      </x:c>
      <x:c r="B159" s="23" t="str">
        <x:v>Sun</x:v>
      </x:c>
      <x:c r="C159" s="23" t="n">
        <x:v>8</x:v>
      </x:c>
      <x:c r="D159" s="23" t="str">
        <x:v>Regular</x:v>
      </x:c>
      <x:c r="E159" s="23" t="str">
        <x:v>CE 3213</x:v>
      </x:c>
      <x:c r="F159" s="173" t="str">
        <x:v>Reinforced Concrete Structures - II</x:v>
      </x:c>
      <x:c r="G159" s="23" t="str">
        <x:v>10:40 AM–11:30 AM</x:v>
      </x:c>
      <x:c r="H159" s="23" t="str">
        <x:v>HRS</x:v>
      </x:c>
      <x:c r="I159" s="23" t="str">
        <x:v>501</x:v>
      </x:c>
      <x:c r="J159" s="23" t="str">
        <x:v>SUN P4</x:v>
      </x:c>
      <x:c r="K159" s="131" t="str"/>
      <x:c r="L159" s="143" t="str"/>
      <x:c r="M159" s="143" t="str"/>
      <x:c r="N159" s="143" t="str"/>
      <x:c r="O159" s="173" t="str"/>
      <x:c r="P159" s="159" t="str">
        <x:f>IF(COUNTIF('Routine &amp; Settings'!$I$5:$I$30,A159)&gt;0,"No",IF(E159="BECM 3204",IF(J159='Routine &amp; Settings'!$B$5,"Yes","No"),IF(E159="BECM 3208",IF(J159='Routine &amp; Settings'!$B$6,"Yes","No"),IF(E159="CE 3224",IF(J159='Routine &amp; Settings'!$B$7,"Yes","No"),IF(E159="BECM 3200",IF('Routine &amp; Settings'!$B$8="Odd Weeks",IF(MOD(C159,2)=1,"Yes","No"),IF(MOD(C159,2)=0,"Yes","No")),"Yes")))))</x:f>
        <x:v>Yes</x:v>
      </x:c>
    </x:row>
    <x:row r="160">
      <x:c r="A160" s="123" t="n">
        <x:v>46327</x:v>
      </x:c>
      <x:c r="B160" s="23" t="str">
        <x:v>Sun</x:v>
      </x:c>
      <x:c r="C160" s="23" t="n">
        <x:v>8</x:v>
      </x:c>
      <x:c r="D160" s="23" t="str">
        <x:v>Regular</x:v>
      </x:c>
      <x:c r="E160" s="23" t="str">
        <x:v>CE 3223</x:v>
      </x:c>
      <x:c r="F160" s="173" t="str">
        <x:v>Soil Mechanics</x:v>
      </x:c>
      <x:c r="G160" s="23" t="str">
        <x:v>11:30 AM–12:20 PM</x:v>
      </x:c>
      <x:c r="H160" s="23" t="str">
        <x:v>MSA</x:v>
      </x:c>
      <x:c r="I160" s="23" t="str">
        <x:v>501</x:v>
      </x:c>
      <x:c r="J160" s="23" t="str">
        <x:v>SUN P5</x:v>
      </x:c>
      <x:c r="K160" s="131" t="str"/>
      <x:c r="L160" s="143" t="str"/>
      <x:c r="M160" s="143" t="str"/>
      <x:c r="N160" s="143" t="str"/>
      <x:c r="O160" s="173" t="str"/>
      <x:c r="P160" s="159" t="str">
        <x:f>IF(COUNTIF('Routine &amp; Settings'!$I$5:$I$30,A160)&gt;0,"No",IF(E160="BECM 3204",IF(J160='Routine &amp; Settings'!$B$5,"Yes","No"),IF(E160="BECM 3208",IF(J160='Routine &amp; Settings'!$B$6,"Yes","No"),IF(E160="CE 3224",IF(J160='Routine &amp; Settings'!$B$7,"Yes","No"),IF(E160="BECM 3200",IF('Routine &amp; Settings'!$B$8="Odd Weeks",IF(MOD(C160,2)=1,"Yes","No"),IF(MOD(C160,2)=0,"Yes","No")),"Yes")))))</x:f>
        <x:v>Yes</x:v>
      </x:c>
    </x:row>
    <x:row r="161">
      <x:c r="A161" s="123" t="n">
        <x:v>46327</x:v>
      </x:c>
      <x:c r="B161" s="23" t="str">
        <x:v>Sun</x:v>
      </x:c>
      <x:c r="C161" s="23" t="n">
        <x:v>8</x:v>
      </x:c>
      <x:c r="D161" s="23" t="str">
        <x:v>Regular</x:v>
      </x:c>
      <x:c r="E161" s="23" t="str">
        <x:v>CE 3211</x:v>
      </x:c>
      <x:c r="F161" s="173" t="str">
        <x:v>Structural Analysis and Design - II</x:v>
      </x:c>
      <x:c r="G161" s="23" t="str">
        <x:v>12:20 PM–01:10 PM</x:v>
      </x:c>
      <x:c r="H161" s="23" t="str">
        <x:v>MKI</x:v>
      </x:c>
      <x:c r="I161" s="23" t="str">
        <x:v>501</x:v>
      </x:c>
      <x:c r="J161" s="23" t="str">
        <x:v>SUN P6</x:v>
      </x:c>
      <x:c r="K161" s="131" t="str"/>
      <x:c r="L161" s="143" t="str"/>
      <x:c r="M161" s="143" t="str"/>
      <x:c r="N161" s="143" t="str"/>
      <x:c r="O161" s="173" t="str"/>
      <x:c r="P161" s="159" t="str">
        <x:f>IF(COUNTIF('Routine &amp; Settings'!$I$5:$I$30,A161)&gt;0,"No",IF(E161="BECM 3204",IF(J161='Routine &amp; Settings'!$B$5,"Yes","No"),IF(E161="BECM 3208",IF(J161='Routine &amp; Settings'!$B$6,"Yes","No"),IF(E161="CE 3224",IF(J161='Routine &amp; Settings'!$B$7,"Yes","No"),IF(E161="BECM 3200",IF('Routine &amp; Settings'!$B$8="Odd Weeks",IF(MOD(C161,2)=1,"Yes","No"),IF(MOD(C161,2)=0,"Yes","No")),"Yes")))))</x:f>
        <x:v>Yes</x:v>
      </x:c>
    </x:row>
    <x:row r="162">
      <x:c r="A162" s="123" t="n">
        <x:v>46327</x:v>
      </x:c>
      <x:c r="B162" s="23" t="str">
        <x:v>Sun</x:v>
      </x:c>
      <x:c r="C162" s="23" t="n">
        <x:v>8</x:v>
      </x:c>
      <x:c r="D162" s="23" t="str">
        <x:v>Regular</x:v>
      </x:c>
      <x:c r="E162" s="23" t="str">
        <x:v>BECM 3204</x:v>
      </x:c>
      <x:c r="F162" s="173" t="str">
        <x:v>Construction Techniques and Equipments - II</x:v>
      </x:c>
      <x:c r="G162" s="23" t="str">
        <x:v>02:30 PM–05:00 PM</x:v>
      </x:c>
      <x:c r="H162" s="23" t="str">
        <x:v>HRS/MR</x:v>
      </x:c>
      <x:c r="I162" s="23" t="str">
        <x:v>404</x:v>
      </x:c>
      <x:c r="J162" s="23" t="str">
        <x:v>Sun PM</x:v>
      </x:c>
      <x:c r="K162" s="131" t="str"/>
      <x:c r="L162" s="143" t="str"/>
      <x:c r="M162" s="143" t="str"/>
      <x:c r="N162" s="143" t="str"/>
      <x:c r="O162" s="173" t="str"/>
      <x:c r="P162" s="159" t="str">
        <x:f>IF(COUNTIF('Routine &amp; Settings'!$I$5:$I$30,A162)&gt;0,"No",IF(E162="BECM 3204",IF(J162='Routine &amp; Settings'!$B$5,"Yes","No"),IF(E162="BECM 3208",IF(J162='Routine &amp; Settings'!$B$6,"Yes","No"),IF(E162="CE 3224",IF(J162='Routine &amp; Settings'!$B$7,"Yes","No"),IF(E162="BECM 3200",IF('Routine &amp; Settings'!$B$8="Odd Weeks",IF(MOD(C162,2)=1,"Yes","No"),IF(MOD(C162,2)=0,"Yes","No")),"Yes")))))</x:f>
        <x:v>Yes</x:v>
      </x:c>
    </x:row>
    <x:row r="163">
      <x:c r="A163" s="123" t="n">
        <x:v>46328</x:v>
      </x:c>
      <x:c r="B163" s="23" t="str">
        <x:v>Mon</x:v>
      </x:c>
      <x:c r="C163" s="23" t="n">
        <x:v>8</x:v>
      </x:c>
      <x:c r="D163" s="23" t="str">
        <x:v>Regular</x:v>
      </x:c>
      <x:c r="E163" s="23" t="str">
        <x:v>CE 3223</x:v>
      </x:c>
      <x:c r="F163" s="173" t="str">
        <x:v>Soil Mechanics</x:v>
      </x:c>
      <x:c r="G163" s="23" t="str">
        <x:v>09:40 AM–10:30 AM</x:v>
      </x:c>
      <x:c r="H163" s="23" t="str">
        <x:v>MHI/MSA</x:v>
      </x:c>
      <x:c r="I163" s="23" t="str">
        <x:v>404</x:v>
      </x:c>
      <x:c r="J163" s="23" t="str">
        <x:v>MON P3</x:v>
      </x:c>
      <x:c r="K163" s="131" t="str"/>
      <x:c r="L163" s="143" t="str"/>
      <x:c r="M163" s="143" t="str"/>
      <x:c r="N163" s="143" t="str"/>
      <x:c r="O163" s="173" t="str"/>
      <x:c r="P163" s="159" t="str">
        <x:f>IF(COUNTIF('Routine &amp; Settings'!$I$5:$I$30,A163)&gt;0,"No",IF(E163="BECM 3204",IF(J163='Routine &amp; Settings'!$B$5,"Yes","No"),IF(E163="BECM 3208",IF(J163='Routine &amp; Settings'!$B$6,"Yes","No"),IF(E163="CE 3224",IF(J163='Routine &amp; Settings'!$B$7,"Yes","No"),IF(E163="BECM 3200",IF('Routine &amp; Settings'!$B$8="Odd Weeks",IF(MOD(C163,2)=1,"Yes","No"),IF(MOD(C163,2)=0,"Yes","No")),"Yes")))))</x:f>
        <x:v>Yes</x:v>
      </x:c>
    </x:row>
    <x:row r="164">
      <x:c r="A164" s="123" t="n">
        <x:v>46328</x:v>
      </x:c>
      <x:c r="B164" s="23" t="str">
        <x:v>Mon</x:v>
      </x:c>
      <x:c r="C164" s="23" t="n">
        <x:v>8</x:v>
      </x:c>
      <x:c r="D164" s="23" t="str">
        <x:v>Regular</x:v>
      </x:c>
      <x:c r="E164" s="23" t="str">
        <x:v>BECM 3201</x:v>
      </x:c>
      <x:c r="F164" s="173" t="str">
        <x:v>Construction and Project Management - II</x:v>
      </x:c>
      <x:c r="G164" s="23" t="str">
        <x:v>11:30 AM–12:20 PM</x:v>
      </x:c>
      <x:c r="H164" s="23" t="str">
        <x:v>MR</x:v>
      </x:c>
      <x:c r="I164" s="23" t="str">
        <x:v>405</x:v>
      </x:c>
      <x:c r="J164" s="23" t="str">
        <x:v>MON P5</x:v>
      </x:c>
      <x:c r="K164" s="131" t="str"/>
      <x:c r="L164" s="143" t="str"/>
      <x:c r="M164" s="143" t="str"/>
      <x:c r="N164" s="143" t="str"/>
      <x:c r="O164" s="173" t="str"/>
      <x:c r="P164" s="159" t="str">
        <x:f>IF(COUNTIF('Routine &amp; Settings'!$I$5:$I$30,A164)&gt;0,"No",IF(E164="BECM 3204",IF(J164='Routine &amp; Settings'!$B$5,"Yes","No"),IF(E164="BECM 3208",IF(J164='Routine &amp; Settings'!$B$6,"Yes","No"),IF(E164="CE 3224",IF(J164='Routine &amp; Settings'!$B$7,"Yes","No"),IF(E164="BECM 3200",IF('Routine &amp; Settings'!$B$8="Odd Weeks",IF(MOD(C164,2)=1,"Yes","No"),IF(MOD(C164,2)=0,"Yes","No")),"Yes")))))</x:f>
        <x:v>Yes</x:v>
      </x:c>
    </x:row>
    <x:row r="165">
      <x:c r="A165" s="123" t="n">
        <x:v>46328</x:v>
      </x:c>
      <x:c r="B165" s="23" t="str">
        <x:v>Mon</x:v>
      </x:c>
      <x:c r="C165" s="23" t="n">
        <x:v>8</x:v>
      </x:c>
      <x:c r="D165" s="23" t="str">
        <x:v>Regular</x:v>
      </x:c>
      <x:c r="E165" s="23" t="str">
        <x:v>BECM 3205</x:v>
      </x:c>
      <x:c r="F165" s="173" t="str">
        <x:v>Acoustics and Lighting</x:v>
      </x:c>
      <x:c r="G165" s="23" t="str">
        <x:v>12:20 PM–01:10 PM</x:v>
      </x:c>
      <x:c r="H165" s="23" t="str">
        <x:v>AAM</x:v>
      </x:c>
      <x:c r="I165" s="23" t="str">
        <x:v>405</x:v>
      </x:c>
      <x:c r="J165" s="23" t="str">
        <x:v>MON P6</x:v>
      </x:c>
      <x:c r="K165" s="131" t="str"/>
      <x:c r="L165" s="143" t="str"/>
      <x:c r="M165" s="143" t="str"/>
      <x:c r="N165" s="143" t="str"/>
      <x:c r="O165" s="173" t="str"/>
      <x:c r="P165" s="159" t="str">
        <x:f>IF(COUNTIF('Routine &amp; Settings'!$I$5:$I$30,A165)&gt;0,"No",IF(E165="BECM 3204",IF(J165='Routine &amp; Settings'!$B$5,"Yes","No"),IF(E165="BECM 3208",IF(J165='Routine &amp; Settings'!$B$6,"Yes","No"),IF(E165="CE 3224",IF(J165='Routine &amp; Settings'!$B$7,"Yes","No"),IF(E165="BECM 3200",IF('Routine &amp; Settings'!$B$8="Odd Weeks",IF(MOD(C165,2)=1,"Yes","No"),IF(MOD(C165,2)=0,"Yes","No")),"Yes")))))</x:f>
        <x:v>Yes</x:v>
      </x:c>
    </x:row>
    <x:row r="166">
      <x:c r="A166" s="123" t="n">
        <x:v>46328</x:v>
      </x:c>
      <x:c r="B166" s="23" t="str">
        <x:v>Mon</x:v>
      </x:c>
      <x:c r="C166" s="23" t="n">
        <x:v>8</x:v>
      </x:c>
      <x:c r="D166" s="23" t="str">
        <x:v>Regular</x:v>
      </x:c>
      <x:c r="E166" s="23" t="str">
        <x:v>BECM 3200</x:v>
      </x:c>
      <x:c r="F166" s="173" t="str">
        <x:v>Project and Seminar</x:v>
      </x:c>
      <x:c r="G166" s="23" t="str">
        <x:v>02:30 PM–05:00 PM</x:v>
      </x:c>
      <x:c r="H166" s="23" t="str">
        <x:v>ALL</x:v>
      </x:c>
      <x:c r="I166" s="23" t="str"/>
      <x:c r="J166" s="23" t="str">
        <x:v>Mon PM</x:v>
      </x:c>
      <x:c r="K166" s="131" t="str"/>
      <x:c r="L166" s="143" t="str"/>
      <x:c r="M166" s="143" t="str"/>
      <x:c r="N166" s="143" t="str"/>
      <x:c r="O166" s="173" t="str"/>
      <x:c r="P166" s="159" t="str">
        <x:f>IF(COUNTIF('Routine &amp; Settings'!$I$5:$I$30,A166)&gt;0,"No",IF(E166="BECM 3204",IF(J166='Routine &amp; Settings'!$B$5,"Yes","No"),IF(E166="BECM 3208",IF(J166='Routine &amp; Settings'!$B$6,"Yes","No"),IF(E166="CE 3224",IF(J166='Routine &amp; Settings'!$B$7,"Yes","No"),IF(E166="BECM 3200",IF('Routine &amp; Settings'!$B$8="Odd Weeks",IF(MOD(C166,2)=1,"Yes","No"),IF(MOD(C166,2)=0,"Yes","No")),"Yes")))))</x:f>
        <x:v>No</x:v>
      </x:c>
    </x:row>
    <x:row r="167">
      <x:c r="A167" s="123" t="n">
        <x:v>46329</x:v>
      </x:c>
      <x:c r="B167" s="23" t="str">
        <x:v>Tue</x:v>
      </x:c>
      <x:c r="C167" s="23" t="n">
        <x:v>8</x:v>
      </x:c>
      <x:c r="D167" s="23" t="str">
        <x:v>Regular</x:v>
      </x:c>
      <x:c r="E167" s="23" t="str">
        <x:v>CE 3224</x:v>
      </x:c>
      <x:c r="F167" s="173" t="str">
        <x:v>Sessional on Soil Mechanics</x:v>
      </x:c>
      <x:c r="G167" s="23" t="str">
        <x:v>08:00 AM–10:30 AM</x:v>
      </x:c>
      <x:c r="H167" s="23" t="str">
        <x:v>MHI/MRA</x:v>
      </x:c>
      <x:c r="I167" s="23" t="str"/>
      <x:c r="J167" s="23" t="str">
        <x:v>Tue AM</x:v>
      </x:c>
      <x:c r="K167" s="131" t="str"/>
      <x:c r="L167" s="143" t="str"/>
      <x:c r="M167" s="143" t="str"/>
      <x:c r="N167" s="143" t="str"/>
      <x:c r="O167" s="173" t="str"/>
      <x:c r="P167" s="159" t="str">
        <x:f>IF(COUNTIF('Routine &amp; Settings'!$I$5:$I$30,A167)&gt;0,"No",IF(E167="BECM 3204",IF(J167='Routine &amp; Settings'!$B$5,"Yes","No"),IF(E167="BECM 3208",IF(J167='Routine &amp; Settings'!$B$6,"Yes","No"),IF(E167="CE 3224",IF(J167='Routine &amp; Settings'!$B$7,"Yes","No"),IF(E167="BECM 3200",IF('Routine &amp; Settings'!$B$8="Odd Weeks",IF(MOD(C167,2)=1,"Yes","No"),IF(MOD(C167,2)=0,"Yes","No")),"Yes")))))</x:f>
        <x:v>Yes</x:v>
      </x:c>
    </x:row>
    <x:row r="168">
      <x:c r="A168" s="123" t="n">
        <x:v>46329</x:v>
      </x:c>
      <x:c r="B168" s="23" t="str">
        <x:v>Tue</x:v>
      </x:c>
      <x:c r="C168" s="23" t="n">
        <x:v>8</x:v>
      </x:c>
      <x:c r="D168" s="23" t="str">
        <x:v>Regular</x:v>
      </x:c>
      <x:c r="E168" s="23" t="str">
        <x:v>CE 3213</x:v>
      </x:c>
      <x:c r="F168" s="173" t="str">
        <x:v>Reinforced Concrete Structures - II</x:v>
      </x:c>
      <x:c r="G168" s="23" t="str">
        <x:v>11:30 AM–12:20 PM</x:v>
      </x:c>
      <x:c r="H168" s="23" t="str">
        <x:v>MKI</x:v>
      </x:c>
      <x:c r="I168" s="23" t="str">
        <x:v>405</x:v>
      </x:c>
      <x:c r="J168" s="23" t="str">
        <x:v>TUES P5</x:v>
      </x:c>
      <x:c r="K168" s="131" t="str"/>
      <x:c r="L168" s="143" t="str"/>
      <x:c r="M168" s="143" t="str"/>
      <x:c r="N168" s="143" t="str"/>
      <x:c r="O168" s="173" t="str"/>
      <x:c r="P168" s="159" t="str">
        <x:f>IF(COUNTIF('Routine &amp; Settings'!$I$5:$I$30,A168)&gt;0,"No",IF(E168="BECM 3204",IF(J168='Routine &amp; Settings'!$B$5,"Yes","No"),IF(E168="BECM 3208",IF(J168='Routine &amp; Settings'!$B$6,"Yes","No"),IF(E168="CE 3224",IF(J168='Routine &amp; Settings'!$B$7,"Yes","No"),IF(E168="BECM 3200",IF('Routine &amp; Settings'!$B$8="Odd Weeks",IF(MOD(C168,2)=1,"Yes","No"),IF(MOD(C168,2)=0,"Yes","No")),"Yes")))))</x:f>
        <x:v>Yes</x:v>
      </x:c>
    </x:row>
    <x:row r="169">
      <x:c r="A169" s="123" t="n">
        <x:v>46329</x:v>
      </x:c>
      <x:c r="B169" s="23" t="str">
        <x:v>Tue</x:v>
      </x:c>
      <x:c r="C169" s="23" t="n">
        <x:v>8</x:v>
      </x:c>
      <x:c r="D169" s="23" t="str">
        <x:v>Regular</x:v>
      </x:c>
      <x:c r="E169" s="23" t="str">
        <x:v>BECM 3201</x:v>
      </x:c>
      <x:c r="F169" s="173" t="str">
        <x:v>Construction and Project Management - II</x:v>
      </x:c>
      <x:c r="G169" s="23" t="str">
        <x:v>12:20 PM–01:10 PM</x:v>
      </x:c>
      <x:c r="H169" s="23" t="str">
        <x:v>MRA</x:v>
      </x:c>
      <x:c r="I169" s="23" t="str">
        <x:v>405</x:v>
      </x:c>
      <x:c r="J169" s="23" t="str">
        <x:v>TUES P6</x:v>
      </x:c>
      <x:c r="K169" s="131" t="str"/>
      <x:c r="L169" s="143" t="str"/>
      <x:c r="M169" s="143" t="str"/>
      <x:c r="N169" s="143" t="str"/>
      <x:c r="O169" s="173" t="str"/>
      <x:c r="P169" s="159" t="str">
        <x:f>IF(COUNTIF('Routine &amp; Settings'!$I$5:$I$30,A169)&gt;0,"No",IF(E169="BECM 3204",IF(J169='Routine &amp; Settings'!$B$5,"Yes","No"),IF(E169="BECM 3208",IF(J169='Routine &amp; Settings'!$B$6,"Yes","No"),IF(E169="CE 3224",IF(J169='Routine &amp; Settings'!$B$7,"Yes","No"),IF(E169="BECM 3200",IF('Routine &amp; Settings'!$B$8="Odd Weeks",IF(MOD(C169,2)=1,"Yes","No"),IF(MOD(C169,2)=0,"Yes","No")),"Yes")))))</x:f>
        <x:v>Yes</x:v>
      </x:c>
    </x:row>
    <x:row r="170">
      <x:c r="A170" s="123" t="n">
        <x:v>46329</x:v>
      </x:c>
      <x:c r="B170" s="23" t="str">
        <x:v>Tue</x:v>
      </x:c>
      <x:c r="C170" s="23" t="n">
        <x:v>8</x:v>
      </x:c>
      <x:c r="D170" s="23" t="str">
        <x:v>Regular</x:v>
      </x:c>
      <x:c r="E170" s="23" t="str">
        <x:v>BECM 3208</x:v>
      </x:c>
      <x:c r="F170" s="173" t="str">
        <x:v>Landscape Design</x:v>
      </x:c>
      <x:c r="G170" s="23" t="str">
        <x:v>02:30 PM–05:00 PM</x:v>
      </x:c>
      <x:c r="H170" s="23" t="str">
        <x:v>MSH/MSA</x:v>
      </x:c>
      <x:c r="I170" s="23" t="str"/>
      <x:c r="J170" s="23" t="str">
        <x:v>Tue PM</x:v>
      </x:c>
      <x:c r="K170" s="131" t="str"/>
      <x:c r="L170" s="143" t="str"/>
      <x:c r="M170" s="143" t="str"/>
      <x:c r="N170" s="143" t="str"/>
      <x:c r="O170" s="173" t="str"/>
      <x:c r="P170" s="159" t="str">
        <x:f>IF(COUNTIF('Routine &amp; Settings'!$I$5:$I$30,A170)&gt;0,"No",IF(E170="BECM 3204",IF(J170='Routine &amp; Settings'!$B$5,"Yes","No"),IF(E170="BECM 3208",IF(J170='Routine &amp; Settings'!$B$6,"Yes","No"),IF(E170="CE 3224",IF(J170='Routine &amp; Settings'!$B$7,"Yes","No"),IF(E170="BECM 3200",IF('Routine &amp; Settings'!$B$8="Odd Weeks",IF(MOD(C170,2)=1,"Yes","No"),IF(MOD(C170,2)=0,"Yes","No")),"Yes")))))</x:f>
        <x:v>Yes</x:v>
      </x:c>
    </x:row>
    <x:row r="171">
      <x:c r="A171" s="123" t="n">
        <x:v>46330</x:v>
      </x:c>
      <x:c r="B171" s="23" t="str">
        <x:v>Wed</x:v>
      </x:c>
      <x:c r="C171" s="23" t="n">
        <x:v>8</x:v>
      </x:c>
      <x:c r="D171" s="23" t="str">
        <x:v>Regular</x:v>
      </x:c>
      <x:c r="E171" s="23" t="str">
        <x:v>CE 3213</x:v>
      </x:c>
      <x:c r="F171" s="173" t="str">
        <x:v>Reinforced Concrete Structures - II</x:v>
      </x:c>
      <x:c r="G171" s="23" t="str">
        <x:v>09:40 AM–10:30 AM</x:v>
      </x:c>
      <x:c r="H171" s="23" t="str">
        <x:v>HRS/MKI</x:v>
      </x:c>
      <x:c r="I171" s="23" t="str">
        <x:v>501</x:v>
      </x:c>
      <x:c r="J171" s="23" t="str">
        <x:v>WED P3</x:v>
      </x:c>
      <x:c r="K171" s="131" t="str"/>
      <x:c r="L171" s="143" t="str"/>
      <x:c r="M171" s="143" t="str"/>
      <x:c r="N171" s="143" t="str"/>
      <x:c r="O171" s="173" t="str"/>
      <x:c r="P171" s="159" t="str">
        <x:f>IF(COUNTIF('Routine &amp; Settings'!$I$5:$I$30,A171)&gt;0,"No",IF(E171="BECM 3204",IF(J171='Routine &amp; Settings'!$B$5,"Yes","No"),IF(E171="BECM 3208",IF(J171='Routine &amp; Settings'!$B$6,"Yes","No"),IF(E171="CE 3224",IF(J171='Routine &amp; Settings'!$B$7,"Yes","No"),IF(E171="BECM 3200",IF('Routine &amp; Settings'!$B$8="Odd Weeks",IF(MOD(C171,2)=1,"Yes","No"),IF(MOD(C171,2)=0,"Yes","No")),"Yes")))))</x:f>
        <x:v>Yes</x:v>
      </x:c>
    </x:row>
    <x:row r="172">
      <x:c r="A172" s="123" t="n">
        <x:v>46330</x:v>
      </x:c>
      <x:c r="B172" s="23" t="str">
        <x:v>Wed</x:v>
      </x:c>
      <x:c r="C172" s="23" t="n">
        <x:v>8</x:v>
      </x:c>
      <x:c r="D172" s="23" t="str">
        <x:v>Regular</x:v>
      </x:c>
      <x:c r="E172" s="23" t="str">
        <x:v>CE 3211</x:v>
      </x:c>
      <x:c r="F172" s="173" t="str">
        <x:v>Structural Analysis and Design - II</x:v>
      </x:c>
      <x:c r="G172" s="23" t="str">
        <x:v>10:40 AM–11:30 AM</x:v>
      </x:c>
      <x:c r="H172" s="23" t="str">
        <x:v>ATB</x:v>
      </x:c>
      <x:c r="I172" s="23" t="str">
        <x:v>501</x:v>
      </x:c>
      <x:c r="J172" s="23" t="str">
        <x:v>WED P4</x:v>
      </x:c>
      <x:c r="K172" s="131" t="str"/>
      <x:c r="L172" s="143" t="str"/>
      <x:c r="M172" s="143" t="str"/>
      <x:c r="N172" s="143" t="str"/>
      <x:c r="O172" s="173" t="str"/>
      <x:c r="P172" s="159" t="str">
        <x:f>IF(COUNTIF('Routine &amp; Settings'!$I$5:$I$30,A172)&gt;0,"No",IF(E172="BECM 3204",IF(J172='Routine &amp; Settings'!$B$5,"Yes","No"),IF(E172="BECM 3208",IF(J172='Routine &amp; Settings'!$B$6,"Yes","No"),IF(E172="CE 3224",IF(J172='Routine &amp; Settings'!$B$7,"Yes","No"),IF(E172="BECM 3200",IF('Routine &amp; Settings'!$B$8="Odd Weeks",IF(MOD(C172,2)=1,"Yes","No"),IF(MOD(C172,2)=0,"Yes","No")),"Yes")))))</x:f>
        <x:v>Yes</x:v>
      </x:c>
    </x:row>
    <x:row r="173">
      <x:c r="A173" s="123" t="n">
        <x:v>46330</x:v>
      </x:c>
      <x:c r="B173" s="23" t="str">
        <x:v>Wed</x:v>
      </x:c>
      <x:c r="C173" s="23" t="n">
        <x:v>8</x:v>
      </x:c>
      <x:c r="D173" s="23" t="str">
        <x:v>Regular</x:v>
      </x:c>
      <x:c r="E173" s="23" t="str">
        <x:v>CE 3223</x:v>
      </x:c>
      <x:c r="F173" s="173" t="str">
        <x:v>Soil Mechanics</x:v>
      </x:c>
      <x:c r="G173" s="23" t="str">
        <x:v>11:30 AM–12:20 PM</x:v>
      </x:c>
      <x:c r="H173" s="23" t="str">
        <x:v>MHI</x:v>
      </x:c>
      <x:c r="I173" s="23" t="str">
        <x:v>501</x:v>
      </x:c>
      <x:c r="J173" s="23" t="str">
        <x:v>WED P5</x:v>
      </x:c>
      <x:c r="K173" s="131" t="str"/>
      <x:c r="L173" s="143" t="str"/>
      <x:c r="M173" s="143" t="str"/>
      <x:c r="N173" s="143" t="str"/>
      <x:c r="O173" s="173" t="str"/>
      <x:c r="P173" s="159" t="str">
        <x:f>IF(COUNTIF('Routine &amp; Settings'!$I$5:$I$30,A173)&gt;0,"No",IF(E173="BECM 3204",IF(J173='Routine &amp; Settings'!$B$5,"Yes","No"),IF(E173="BECM 3208",IF(J173='Routine &amp; Settings'!$B$6,"Yes","No"),IF(E173="CE 3224",IF(J173='Routine &amp; Settings'!$B$7,"Yes","No"),IF(E173="BECM 3200",IF('Routine &amp; Settings'!$B$8="Odd Weeks",IF(MOD(C173,2)=1,"Yes","No"),IF(MOD(C173,2)=0,"Yes","No")),"Yes")))))</x:f>
        <x:v>Yes</x:v>
      </x:c>
    </x:row>
    <x:row r="174">
      <x:c r="A174" s="123" t="n">
        <x:v>46330</x:v>
      </x:c>
      <x:c r="B174" s="23" t="str">
        <x:v>Wed</x:v>
      </x:c>
      <x:c r="C174" s="23" t="n">
        <x:v>8</x:v>
      </x:c>
      <x:c r="D174" s="23" t="str">
        <x:v>Regular</x:v>
      </x:c>
      <x:c r="E174" s="23" t="str">
        <x:v>BECM 3205</x:v>
      </x:c>
      <x:c r="F174" s="173" t="str">
        <x:v>Acoustics and Lighting</x:v>
      </x:c>
      <x:c r="G174" s="23" t="str">
        <x:v>12:20 PM–01:10 PM</x:v>
      </x:c>
      <x:c r="H174" s="23" t="str">
        <x:v>MSH/AAM</x:v>
      </x:c>
      <x:c r="I174" s="23" t="str">
        <x:v>501</x:v>
      </x:c>
      <x:c r="J174" s="23" t="str">
        <x:v>WED P6</x:v>
      </x:c>
      <x:c r="K174" s="131" t="str"/>
      <x:c r="L174" s="143" t="str"/>
      <x:c r="M174" s="143" t="str"/>
      <x:c r="N174" s="143" t="str"/>
      <x:c r="O174" s="173" t="str"/>
      <x:c r="P174" s="159" t="str">
        <x:f>IF(COUNTIF('Routine &amp; Settings'!$I$5:$I$30,A174)&gt;0,"No",IF(E174="BECM 3204",IF(J174='Routine &amp; Settings'!$B$5,"Yes","No"),IF(E174="BECM 3208",IF(J174='Routine &amp; Settings'!$B$6,"Yes","No"),IF(E174="CE 3224",IF(J174='Routine &amp; Settings'!$B$7,"Yes","No"),IF(E174="BECM 3200",IF('Routine &amp; Settings'!$B$8="Odd Weeks",IF(MOD(C174,2)=1,"Yes","No"),IF(MOD(C174,2)=0,"Yes","No")),"Yes")))))</x:f>
        <x:v>Yes</x:v>
      </x:c>
    </x:row>
    <x:row r="175">
      <x:c r="A175" s="123" t="n">
        <x:v>46330</x:v>
      </x:c>
      <x:c r="B175" s="23" t="str">
        <x:v>Wed</x:v>
      </x:c>
      <x:c r="C175" s="23" t="n">
        <x:v>8</x:v>
      </x:c>
      <x:c r="D175" s="23" t="str">
        <x:v>Regular</x:v>
      </x:c>
      <x:c r="E175" s="23" t="str">
        <x:v>BECM 3208</x:v>
      </x:c>
      <x:c r="F175" s="173" t="str">
        <x:v>Landscape Design</x:v>
      </x:c>
      <x:c r="G175" s="23" t="str">
        <x:v>02:30 PM–05:00 PM</x:v>
      </x:c>
      <x:c r="H175" s="23" t="str">
        <x:v>MSH/MSA</x:v>
      </x:c>
      <x:c r="I175" s="23" t="str">
        <x:v>501</x:v>
      </x:c>
      <x:c r="J175" s="23" t="str">
        <x:v>Wed PM</x:v>
      </x:c>
      <x:c r="K175" s="131" t="str"/>
      <x:c r="L175" s="143" t="str"/>
      <x:c r="M175" s="143" t="str"/>
      <x:c r="N175" s="143" t="str"/>
      <x:c r="O175" s="173" t="str"/>
      <x:c r="P175" s="159" t="str">
        <x:f>IF(COUNTIF('Routine &amp; Settings'!$I$5:$I$30,A175)&gt;0,"No",IF(E175="BECM 3204",IF(J175='Routine &amp; Settings'!$B$5,"Yes","No"),IF(E175="BECM 3208",IF(J175='Routine &amp; Settings'!$B$6,"Yes","No"),IF(E175="CE 3224",IF(J175='Routine &amp; Settings'!$B$7,"Yes","No"),IF(E175="BECM 3200",IF('Routine &amp; Settings'!$B$8="Odd Weeks",IF(MOD(C175,2)=1,"Yes","No"),IF(MOD(C175,2)=0,"Yes","No")),"Yes")))))</x:f>
        <x:v>No</x:v>
      </x:c>
    </x:row>
    <x:row r="176">
      <x:c r="A176" s="123" t="n">
        <x:v>46331</x:v>
      </x:c>
      <x:c r="B176" s="23" t="str">
        <x:v>Thu</x:v>
      </x:c>
      <x:c r="C176" s="23" t="n">
        <x:v>8</x:v>
      </x:c>
      <x:c r="D176" s="23" t="str">
        <x:v>Regular</x:v>
      </x:c>
      <x:c r="E176" s="23" t="str">
        <x:v>BECM 3204</x:v>
      </x:c>
      <x:c r="F176" s="173" t="str">
        <x:v>Construction Techniques and Equipments - II</x:v>
      </x:c>
      <x:c r="G176" s="23" t="str">
        <x:v>08:00 AM–10:30 AM</x:v>
      </x:c>
      <x:c r="H176" s="23" t="str">
        <x:v>HRS/MR</x:v>
      </x:c>
      <x:c r="I176" s="23" t="str"/>
      <x:c r="J176" s="23" t="str">
        <x:v>Thu AM</x:v>
      </x:c>
      <x:c r="K176" s="131" t="str"/>
      <x:c r="L176" s="143" t="str"/>
      <x:c r="M176" s="143" t="str"/>
      <x:c r="N176" s="143" t="str"/>
      <x:c r="O176" s="173" t="str"/>
      <x:c r="P176" s="159" t="str">
        <x:f>IF(COUNTIF('Routine &amp; Settings'!$I$5:$I$30,A176)&gt;0,"No",IF(E176="BECM 3204",IF(J176='Routine &amp; Settings'!$B$5,"Yes","No"),IF(E176="BECM 3208",IF(J176='Routine &amp; Settings'!$B$6,"Yes","No"),IF(E176="CE 3224",IF(J176='Routine &amp; Settings'!$B$7,"Yes","No"),IF(E176="BECM 3200",IF('Routine &amp; Settings'!$B$8="Odd Weeks",IF(MOD(C176,2)=1,"Yes","No"),IF(MOD(C176,2)=0,"Yes","No")),"Yes")))))</x:f>
        <x:v>No</x:v>
      </x:c>
    </x:row>
    <x:row r="177">
      <x:c r="A177" s="123" t="n">
        <x:v>46331</x:v>
      </x:c>
      <x:c r="B177" s="23" t="str">
        <x:v>Thu</x:v>
      </x:c>
      <x:c r="C177" s="23" t="n">
        <x:v>8</x:v>
      </x:c>
      <x:c r="D177" s="23" t="str">
        <x:v>Regular</x:v>
      </x:c>
      <x:c r="E177" s="23" t="str">
        <x:v>BECM 3205</x:v>
      </x:c>
      <x:c r="F177" s="173" t="str">
        <x:v>Acoustics and Lighting</x:v>
      </x:c>
      <x:c r="G177" s="23" t="str">
        <x:v>10:40 AM–11:30 AM</x:v>
      </x:c>
      <x:c r="H177" s="23" t="str">
        <x:v>MSH</x:v>
      </x:c>
      <x:c r="I177" s="23" t="str">
        <x:v>406</x:v>
      </x:c>
      <x:c r="J177" s="23" t="str">
        <x:v>THURS P4</x:v>
      </x:c>
      <x:c r="K177" s="131" t="str"/>
      <x:c r="L177" s="143" t="str"/>
      <x:c r="M177" s="143" t="str"/>
      <x:c r="N177" s="143" t="str"/>
      <x:c r="O177" s="173" t="str"/>
      <x:c r="P177" s="159" t="str">
        <x:f>IF(COUNTIF('Routine &amp; Settings'!$I$5:$I$30,A177)&gt;0,"No",IF(E177="BECM 3204",IF(J177='Routine &amp; Settings'!$B$5,"Yes","No"),IF(E177="BECM 3208",IF(J177='Routine &amp; Settings'!$B$6,"Yes","No"),IF(E177="CE 3224",IF(J177='Routine &amp; Settings'!$B$7,"Yes","No"),IF(E177="BECM 3200",IF('Routine &amp; Settings'!$B$8="Odd Weeks",IF(MOD(C177,2)=1,"Yes","No"),IF(MOD(C177,2)=0,"Yes","No")),"Yes")))))</x:f>
        <x:v>Yes</x:v>
      </x:c>
    </x:row>
    <x:row r="178">
      <x:c r="A178" s="123" t="n">
        <x:v>46331</x:v>
      </x:c>
      <x:c r="B178" s="23" t="str">
        <x:v>Thu</x:v>
      </x:c>
      <x:c r="C178" s="23" t="n">
        <x:v>8</x:v>
      </x:c>
      <x:c r="D178" s="23" t="str">
        <x:v>Regular</x:v>
      </x:c>
      <x:c r="E178" s="23" t="str">
        <x:v>CE 3211</x:v>
      </x:c>
      <x:c r="F178" s="173" t="str">
        <x:v>Structural Analysis and Design - II</x:v>
      </x:c>
      <x:c r="G178" s="23" t="str">
        <x:v>11:30 AM–12:20 PM</x:v>
      </x:c>
      <x:c r="H178" s="23" t="str">
        <x:v>MKI/ATB</x:v>
      </x:c>
      <x:c r="I178" s="23" t="str">
        <x:v>406</x:v>
      </x:c>
      <x:c r="J178" s="23" t="str">
        <x:v>THURS P5</x:v>
      </x:c>
      <x:c r="K178" s="131" t="str"/>
      <x:c r="L178" s="143" t="str"/>
      <x:c r="M178" s="143" t="str"/>
      <x:c r="N178" s="143" t="str"/>
      <x:c r="O178" s="173" t="str"/>
      <x:c r="P178" s="159" t="str">
        <x:f>IF(COUNTIF('Routine &amp; Settings'!$I$5:$I$30,A178)&gt;0,"No",IF(E178="BECM 3204",IF(J178='Routine &amp; Settings'!$B$5,"Yes","No"),IF(E178="BECM 3208",IF(J178='Routine &amp; Settings'!$B$6,"Yes","No"),IF(E178="CE 3224",IF(J178='Routine &amp; Settings'!$B$7,"Yes","No"),IF(E178="BECM 3200",IF('Routine &amp; Settings'!$B$8="Odd Weeks",IF(MOD(C178,2)=1,"Yes","No"),IF(MOD(C178,2)=0,"Yes","No")),"Yes")))))</x:f>
        <x:v>Yes</x:v>
      </x:c>
    </x:row>
    <x:row r="179">
      <x:c r="A179" s="123" t="n">
        <x:v>46331</x:v>
      </x:c>
      <x:c r="B179" s="23" t="str">
        <x:v>Thu</x:v>
      </x:c>
      <x:c r="C179" s="23" t="n">
        <x:v>8</x:v>
      </x:c>
      <x:c r="D179" s="23" t="str">
        <x:v>Regular</x:v>
      </x:c>
      <x:c r="E179" s="23" t="str">
        <x:v>BECM 3201</x:v>
      </x:c>
      <x:c r="F179" s="173" t="str">
        <x:v>Construction and Project Management - II</x:v>
      </x:c>
      <x:c r="G179" s="23" t="str">
        <x:v>12:20 PM–01:10 PM</x:v>
      </x:c>
      <x:c r="H179" s="23" t="str">
        <x:v>MR/MRA</x:v>
      </x:c>
      <x:c r="I179" s="23" t="str">
        <x:v>406</x:v>
      </x:c>
      <x:c r="J179" s="23" t="str">
        <x:v>THURS P6</x:v>
      </x:c>
      <x:c r="K179" s="131" t="str"/>
      <x:c r="L179" s="143" t="str"/>
      <x:c r="M179" s="143" t="str"/>
      <x:c r="N179" s="143" t="str"/>
      <x:c r="O179" s="173" t="str"/>
      <x:c r="P179" s="159" t="str">
        <x:f>IF(COUNTIF('Routine &amp; Settings'!$I$5:$I$30,A179)&gt;0,"No",IF(E179="BECM 3204",IF(J179='Routine &amp; Settings'!$B$5,"Yes","No"),IF(E179="BECM 3208",IF(J179='Routine &amp; Settings'!$B$6,"Yes","No"),IF(E179="CE 3224",IF(J179='Routine &amp; Settings'!$B$7,"Yes","No"),IF(E179="BECM 3200",IF('Routine &amp; Settings'!$B$8="Odd Weeks",IF(MOD(C179,2)=1,"Yes","No"),IF(MOD(C179,2)=0,"Yes","No")),"Yes")))))</x:f>
        <x:v>Yes</x:v>
      </x:c>
    </x:row>
    <x:row r="180">
      <x:c r="A180" s="123" t="n">
        <x:v>46331</x:v>
      </x:c>
      <x:c r="B180" s="23" t="str">
        <x:v>Thu</x:v>
      </x:c>
      <x:c r="C180" s="23" t="n">
        <x:v>8</x:v>
      </x:c>
      <x:c r="D180" s="23" t="str">
        <x:v>Regular</x:v>
      </x:c>
      <x:c r="E180" s="23" t="str">
        <x:v>CE 3224</x:v>
      </x:c>
      <x:c r="F180" s="173" t="str">
        <x:v>Sessional on Soil Mechanics</x:v>
      </x:c>
      <x:c r="G180" s="23" t="str">
        <x:v>02:30 PM–05:00 PM</x:v>
      </x:c>
      <x:c r="H180" s="23" t="str">
        <x:v>MHI/MRA</x:v>
      </x:c>
      <x:c r="I180" s="23" t="str">
        <x:v>405</x:v>
      </x:c>
      <x:c r="J180" s="23" t="str">
        <x:v>Thu PM</x:v>
      </x:c>
      <x:c r="K180" s="131" t="str"/>
      <x:c r="L180" s="143" t="str"/>
      <x:c r="M180" s="143" t="str"/>
      <x:c r="N180" s="143" t="str"/>
      <x:c r="O180" s="173" t="str"/>
      <x:c r="P180" s="159" t="str">
        <x:f>IF(COUNTIF('Routine &amp; Settings'!$I$5:$I$30,A180)&gt;0,"No",IF(E180="BECM 3204",IF(J180='Routine &amp; Settings'!$B$5,"Yes","No"),IF(E180="BECM 3208",IF(J180='Routine &amp; Settings'!$B$6,"Yes","No"),IF(E180="CE 3224",IF(J180='Routine &amp; Settings'!$B$7,"Yes","No"),IF(E180="BECM 3200",IF('Routine &amp; Settings'!$B$8="Odd Weeks",IF(MOD(C180,2)=1,"Yes","No"),IF(MOD(C180,2)=0,"Yes","No")),"Yes")))))</x:f>
        <x:v>No</x:v>
      </x:c>
    </x:row>
    <x:row r="181">
      <x:c r="A181" s="123" t="n">
        <x:v>46334</x:v>
      </x:c>
      <x:c r="B181" s="23" t="str">
        <x:v>Sun</x:v>
      </x:c>
      <x:c r="C181" s="23" t="n">
        <x:v>9</x:v>
      </x:c>
      <x:c r="D181" s="23" t="str">
        <x:v>Regular</x:v>
      </x:c>
      <x:c r="E181" s="23" t="str">
        <x:v>CE 3213</x:v>
      </x:c>
      <x:c r="F181" s="173" t="str">
        <x:v>Reinforced Concrete Structures - II</x:v>
      </x:c>
      <x:c r="G181" s="23" t="str">
        <x:v>10:40 AM–11:30 AM</x:v>
      </x:c>
      <x:c r="H181" s="23" t="str">
        <x:v>HRS</x:v>
      </x:c>
      <x:c r="I181" s="23" t="str">
        <x:v>501</x:v>
      </x:c>
      <x:c r="J181" s="23" t="str">
        <x:v>SUN P4</x:v>
      </x:c>
      <x:c r="K181" s="131" t="str"/>
      <x:c r="L181" s="143" t="str"/>
      <x:c r="M181" s="143" t="str"/>
      <x:c r="N181" s="143" t="str"/>
      <x:c r="O181" s="173" t="str"/>
      <x:c r="P181" s="159" t="str">
        <x:f>IF(COUNTIF('Routine &amp; Settings'!$I$5:$I$30,A181)&gt;0,"No",IF(E181="BECM 3204",IF(J181='Routine &amp; Settings'!$B$5,"Yes","No"),IF(E181="BECM 3208",IF(J181='Routine &amp; Settings'!$B$6,"Yes","No"),IF(E181="CE 3224",IF(J181='Routine &amp; Settings'!$B$7,"Yes","No"),IF(E181="BECM 3200",IF('Routine &amp; Settings'!$B$8="Odd Weeks",IF(MOD(C181,2)=1,"Yes","No"),IF(MOD(C181,2)=0,"Yes","No")),"Yes")))))</x:f>
        <x:v>Yes</x:v>
      </x:c>
    </x:row>
    <x:row r="182">
      <x:c r="A182" s="123" t="n">
        <x:v>46334</x:v>
      </x:c>
      <x:c r="B182" s="23" t="str">
        <x:v>Sun</x:v>
      </x:c>
      <x:c r="C182" s="23" t="n">
        <x:v>9</x:v>
      </x:c>
      <x:c r="D182" s="23" t="str">
        <x:v>Regular</x:v>
      </x:c>
      <x:c r="E182" s="23" t="str">
        <x:v>CE 3223</x:v>
      </x:c>
      <x:c r="F182" s="173" t="str">
        <x:v>Soil Mechanics</x:v>
      </x:c>
      <x:c r="G182" s="23" t="str">
        <x:v>11:30 AM–12:20 PM</x:v>
      </x:c>
      <x:c r="H182" s="23" t="str">
        <x:v>MSA</x:v>
      </x:c>
      <x:c r="I182" s="23" t="str">
        <x:v>501</x:v>
      </x:c>
      <x:c r="J182" s="23" t="str">
        <x:v>SUN P5</x:v>
      </x:c>
      <x:c r="K182" s="131" t="str"/>
      <x:c r="L182" s="143" t="str"/>
      <x:c r="M182" s="143" t="str"/>
      <x:c r="N182" s="143" t="str"/>
      <x:c r="O182" s="173" t="str"/>
      <x:c r="P182" s="159" t="str">
        <x:f>IF(COUNTIF('Routine &amp; Settings'!$I$5:$I$30,A182)&gt;0,"No",IF(E182="BECM 3204",IF(J182='Routine &amp; Settings'!$B$5,"Yes","No"),IF(E182="BECM 3208",IF(J182='Routine &amp; Settings'!$B$6,"Yes","No"),IF(E182="CE 3224",IF(J182='Routine &amp; Settings'!$B$7,"Yes","No"),IF(E182="BECM 3200",IF('Routine &amp; Settings'!$B$8="Odd Weeks",IF(MOD(C182,2)=1,"Yes","No"),IF(MOD(C182,2)=0,"Yes","No")),"Yes")))))</x:f>
        <x:v>Yes</x:v>
      </x:c>
    </x:row>
    <x:row r="183">
      <x:c r="A183" s="123" t="n">
        <x:v>46334</x:v>
      </x:c>
      <x:c r="B183" s="23" t="str">
        <x:v>Sun</x:v>
      </x:c>
      <x:c r="C183" s="23" t="n">
        <x:v>9</x:v>
      </x:c>
      <x:c r="D183" s="23" t="str">
        <x:v>Regular</x:v>
      </x:c>
      <x:c r="E183" s="23" t="str">
        <x:v>CE 3211</x:v>
      </x:c>
      <x:c r="F183" s="173" t="str">
        <x:v>Structural Analysis and Design - II</x:v>
      </x:c>
      <x:c r="G183" s="23" t="str">
        <x:v>12:20 PM–01:10 PM</x:v>
      </x:c>
      <x:c r="H183" s="23" t="str">
        <x:v>MKI</x:v>
      </x:c>
      <x:c r="I183" s="23" t="str">
        <x:v>501</x:v>
      </x:c>
      <x:c r="J183" s="23" t="str">
        <x:v>SUN P6</x:v>
      </x:c>
      <x:c r="K183" s="131" t="str"/>
      <x:c r="L183" s="143" t="str"/>
      <x:c r="M183" s="143" t="str"/>
      <x:c r="N183" s="143" t="str"/>
      <x:c r="O183" s="173" t="str"/>
      <x:c r="P183" s="159" t="str">
        <x:f>IF(COUNTIF('Routine &amp; Settings'!$I$5:$I$30,A183)&gt;0,"No",IF(E183="BECM 3204",IF(J183='Routine &amp; Settings'!$B$5,"Yes","No"),IF(E183="BECM 3208",IF(J183='Routine &amp; Settings'!$B$6,"Yes","No"),IF(E183="CE 3224",IF(J183='Routine &amp; Settings'!$B$7,"Yes","No"),IF(E183="BECM 3200",IF('Routine &amp; Settings'!$B$8="Odd Weeks",IF(MOD(C183,2)=1,"Yes","No"),IF(MOD(C183,2)=0,"Yes","No")),"Yes")))))</x:f>
        <x:v>Yes</x:v>
      </x:c>
    </x:row>
    <x:row r="184">
      <x:c r="A184" s="123" t="n">
        <x:v>46334</x:v>
      </x:c>
      <x:c r="B184" s="23" t="str">
        <x:v>Sun</x:v>
      </x:c>
      <x:c r="C184" s="23" t="n">
        <x:v>9</x:v>
      </x:c>
      <x:c r="D184" s="23" t="str">
        <x:v>Regular</x:v>
      </x:c>
      <x:c r="E184" s="23" t="str">
        <x:v>BECM 3204</x:v>
      </x:c>
      <x:c r="F184" s="173" t="str">
        <x:v>Construction Techniques and Equipments - II</x:v>
      </x:c>
      <x:c r="G184" s="23" t="str">
        <x:v>02:30 PM–05:00 PM</x:v>
      </x:c>
      <x:c r="H184" s="23" t="str">
        <x:v>HRS/MR</x:v>
      </x:c>
      <x:c r="I184" s="23" t="str">
        <x:v>404</x:v>
      </x:c>
      <x:c r="J184" s="23" t="str">
        <x:v>Sun PM</x:v>
      </x:c>
      <x:c r="K184" s="131" t="str"/>
      <x:c r="L184" s="143" t="str"/>
      <x:c r="M184" s="143" t="str"/>
      <x:c r="N184" s="143" t="str"/>
      <x:c r="O184" s="173" t="str"/>
      <x:c r="P184" s="159" t="str">
        <x:f>IF(COUNTIF('Routine &amp; Settings'!$I$5:$I$30,A184)&gt;0,"No",IF(E184="BECM 3204",IF(J184='Routine &amp; Settings'!$B$5,"Yes","No"),IF(E184="BECM 3208",IF(J184='Routine &amp; Settings'!$B$6,"Yes","No"),IF(E184="CE 3224",IF(J184='Routine &amp; Settings'!$B$7,"Yes","No"),IF(E184="BECM 3200",IF('Routine &amp; Settings'!$B$8="Odd Weeks",IF(MOD(C184,2)=1,"Yes","No"),IF(MOD(C184,2)=0,"Yes","No")),"Yes")))))</x:f>
        <x:v>Yes</x:v>
      </x:c>
    </x:row>
    <x:row r="185">
      <x:c r="A185" s="123" t="n">
        <x:v>46335</x:v>
      </x:c>
      <x:c r="B185" s="23" t="str">
        <x:v>Mon</x:v>
      </x:c>
      <x:c r="C185" s="23" t="n">
        <x:v>9</x:v>
      </x:c>
      <x:c r="D185" s="23" t="str">
        <x:v>Regular</x:v>
      </x:c>
      <x:c r="E185" s="23" t="str">
        <x:v>CE 3223</x:v>
      </x:c>
      <x:c r="F185" s="173" t="str">
        <x:v>Soil Mechanics</x:v>
      </x:c>
      <x:c r="G185" s="23" t="str">
        <x:v>09:40 AM–10:30 AM</x:v>
      </x:c>
      <x:c r="H185" s="23" t="str">
        <x:v>MHI/MSA</x:v>
      </x:c>
      <x:c r="I185" s="23" t="str">
        <x:v>404</x:v>
      </x:c>
      <x:c r="J185" s="23" t="str">
        <x:v>MON P3</x:v>
      </x:c>
      <x:c r="K185" s="131" t="str"/>
      <x:c r="L185" s="143" t="str"/>
      <x:c r="M185" s="143" t="str"/>
      <x:c r="N185" s="143" t="str"/>
      <x:c r="O185" s="173" t="str"/>
      <x:c r="P185" s="159" t="str">
        <x:f>IF(COUNTIF('Routine &amp; Settings'!$I$5:$I$30,A185)&gt;0,"No",IF(E185="BECM 3204",IF(J185='Routine &amp; Settings'!$B$5,"Yes","No"),IF(E185="BECM 3208",IF(J185='Routine &amp; Settings'!$B$6,"Yes","No"),IF(E185="CE 3224",IF(J185='Routine &amp; Settings'!$B$7,"Yes","No"),IF(E185="BECM 3200",IF('Routine &amp; Settings'!$B$8="Odd Weeks",IF(MOD(C185,2)=1,"Yes","No"),IF(MOD(C185,2)=0,"Yes","No")),"Yes")))))</x:f>
        <x:v>Yes</x:v>
      </x:c>
    </x:row>
    <x:row r="186">
      <x:c r="A186" s="123" t="n">
        <x:v>46335</x:v>
      </x:c>
      <x:c r="B186" s="23" t="str">
        <x:v>Mon</x:v>
      </x:c>
      <x:c r="C186" s="23" t="n">
        <x:v>9</x:v>
      </x:c>
      <x:c r="D186" s="23" t="str">
        <x:v>Regular</x:v>
      </x:c>
      <x:c r="E186" s="23" t="str">
        <x:v>BECM 3201</x:v>
      </x:c>
      <x:c r="F186" s="173" t="str">
        <x:v>Construction and Project Management - II</x:v>
      </x:c>
      <x:c r="G186" s="23" t="str">
        <x:v>11:30 AM–12:20 PM</x:v>
      </x:c>
      <x:c r="H186" s="23" t="str">
        <x:v>MR</x:v>
      </x:c>
      <x:c r="I186" s="23" t="str">
        <x:v>405</x:v>
      </x:c>
      <x:c r="J186" s="23" t="str">
        <x:v>MON P5</x:v>
      </x:c>
      <x:c r="K186" s="131" t="str"/>
      <x:c r="L186" s="143" t="str"/>
      <x:c r="M186" s="143" t="str"/>
      <x:c r="N186" s="143" t="str"/>
      <x:c r="O186" s="173" t="str"/>
      <x:c r="P186" s="159" t="str">
        <x:f>IF(COUNTIF('Routine &amp; Settings'!$I$5:$I$30,A186)&gt;0,"No",IF(E186="BECM 3204",IF(J186='Routine &amp; Settings'!$B$5,"Yes","No"),IF(E186="BECM 3208",IF(J186='Routine &amp; Settings'!$B$6,"Yes","No"),IF(E186="CE 3224",IF(J186='Routine &amp; Settings'!$B$7,"Yes","No"),IF(E186="BECM 3200",IF('Routine &amp; Settings'!$B$8="Odd Weeks",IF(MOD(C186,2)=1,"Yes","No"),IF(MOD(C186,2)=0,"Yes","No")),"Yes")))))</x:f>
        <x:v>Yes</x:v>
      </x:c>
    </x:row>
    <x:row r="187">
      <x:c r="A187" s="123" t="n">
        <x:v>46335</x:v>
      </x:c>
      <x:c r="B187" s="23" t="str">
        <x:v>Mon</x:v>
      </x:c>
      <x:c r="C187" s="23" t="n">
        <x:v>9</x:v>
      </x:c>
      <x:c r="D187" s="23" t="str">
        <x:v>Regular</x:v>
      </x:c>
      <x:c r="E187" s="23" t="str">
        <x:v>BECM 3205</x:v>
      </x:c>
      <x:c r="F187" s="173" t="str">
        <x:v>Acoustics and Lighting</x:v>
      </x:c>
      <x:c r="G187" s="23" t="str">
        <x:v>12:20 PM–01:10 PM</x:v>
      </x:c>
      <x:c r="H187" s="23" t="str">
        <x:v>AAM</x:v>
      </x:c>
      <x:c r="I187" s="23" t="str">
        <x:v>405</x:v>
      </x:c>
      <x:c r="J187" s="23" t="str">
        <x:v>MON P6</x:v>
      </x:c>
      <x:c r="K187" s="131" t="str"/>
      <x:c r="L187" s="143" t="str"/>
      <x:c r="M187" s="143" t="str"/>
      <x:c r="N187" s="143" t="str"/>
      <x:c r="O187" s="173" t="str"/>
      <x:c r="P187" s="159" t="str">
        <x:f>IF(COUNTIF('Routine &amp; Settings'!$I$5:$I$30,A187)&gt;0,"No",IF(E187="BECM 3204",IF(J187='Routine &amp; Settings'!$B$5,"Yes","No"),IF(E187="BECM 3208",IF(J187='Routine &amp; Settings'!$B$6,"Yes","No"),IF(E187="CE 3224",IF(J187='Routine &amp; Settings'!$B$7,"Yes","No"),IF(E187="BECM 3200",IF('Routine &amp; Settings'!$B$8="Odd Weeks",IF(MOD(C187,2)=1,"Yes","No"),IF(MOD(C187,2)=0,"Yes","No")),"Yes")))))</x:f>
        <x:v>Yes</x:v>
      </x:c>
    </x:row>
    <x:row r="188">
      <x:c r="A188" s="123" t="n">
        <x:v>46335</x:v>
      </x:c>
      <x:c r="B188" s="23" t="str">
        <x:v>Mon</x:v>
      </x:c>
      <x:c r="C188" s="23" t="n">
        <x:v>9</x:v>
      </x:c>
      <x:c r="D188" s="23" t="str">
        <x:v>Regular</x:v>
      </x:c>
      <x:c r="E188" s="23" t="str">
        <x:v>BECM 3200</x:v>
      </x:c>
      <x:c r="F188" s="173" t="str">
        <x:v>Project and Seminar</x:v>
      </x:c>
      <x:c r="G188" s="23" t="str">
        <x:v>02:30 PM–05:00 PM</x:v>
      </x:c>
      <x:c r="H188" s="23" t="str">
        <x:v>ALL</x:v>
      </x:c>
      <x:c r="I188" s="23" t="str"/>
      <x:c r="J188" s="23" t="str">
        <x:v>Mon PM</x:v>
      </x:c>
      <x:c r="K188" s="131" t="str"/>
      <x:c r="L188" s="143" t="str"/>
      <x:c r="M188" s="143" t="str"/>
      <x:c r="N188" s="143" t="str"/>
      <x:c r="O188" s="173" t="str"/>
      <x:c r="P188" s="159" t="str">
        <x:f>IF(COUNTIF('Routine &amp; Settings'!$I$5:$I$30,A188)&gt;0,"No",IF(E188="BECM 3204",IF(J188='Routine &amp; Settings'!$B$5,"Yes","No"),IF(E188="BECM 3208",IF(J188='Routine &amp; Settings'!$B$6,"Yes","No"),IF(E188="CE 3224",IF(J188='Routine &amp; Settings'!$B$7,"Yes","No"),IF(E188="BECM 3200",IF('Routine &amp; Settings'!$B$8="Odd Weeks",IF(MOD(C188,2)=1,"Yes","No"),IF(MOD(C188,2)=0,"Yes","No")),"Yes")))))</x:f>
        <x:v>Yes</x:v>
      </x:c>
    </x:row>
    <x:row r="189">
      <x:c r="A189" s="123" t="n">
        <x:v>46336</x:v>
      </x:c>
      <x:c r="B189" s="23" t="str">
        <x:v>Tue</x:v>
      </x:c>
      <x:c r="C189" s="23" t="n">
        <x:v>9</x:v>
      </x:c>
      <x:c r="D189" s="23" t="str">
        <x:v>Regular</x:v>
      </x:c>
      <x:c r="E189" s="23" t="str">
        <x:v>CE 3224</x:v>
      </x:c>
      <x:c r="F189" s="173" t="str">
        <x:v>Sessional on Soil Mechanics</x:v>
      </x:c>
      <x:c r="G189" s="23" t="str">
        <x:v>08:00 AM–10:30 AM</x:v>
      </x:c>
      <x:c r="H189" s="23" t="str">
        <x:v>MHI/MRA</x:v>
      </x:c>
      <x:c r="I189" s="23" t="str"/>
      <x:c r="J189" s="23" t="str">
        <x:v>Tue AM</x:v>
      </x:c>
      <x:c r="K189" s="131" t="str"/>
      <x:c r="L189" s="143" t="str"/>
      <x:c r="M189" s="143" t="str"/>
      <x:c r="N189" s="143" t="str"/>
      <x:c r="O189" s="173" t="str"/>
      <x:c r="P189" s="159" t="str">
        <x:f>IF(COUNTIF('Routine &amp; Settings'!$I$5:$I$30,A189)&gt;0,"No",IF(E189="BECM 3204",IF(J189='Routine &amp; Settings'!$B$5,"Yes","No"),IF(E189="BECM 3208",IF(J189='Routine &amp; Settings'!$B$6,"Yes","No"),IF(E189="CE 3224",IF(J189='Routine &amp; Settings'!$B$7,"Yes","No"),IF(E189="BECM 3200",IF('Routine &amp; Settings'!$B$8="Odd Weeks",IF(MOD(C189,2)=1,"Yes","No"),IF(MOD(C189,2)=0,"Yes","No")),"Yes")))))</x:f>
        <x:v>Yes</x:v>
      </x:c>
    </x:row>
    <x:row r="190">
      <x:c r="A190" s="123" t="n">
        <x:v>46336</x:v>
      </x:c>
      <x:c r="B190" s="23" t="str">
        <x:v>Tue</x:v>
      </x:c>
      <x:c r="C190" s="23" t="n">
        <x:v>9</x:v>
      </x:c>
      <x:c r="D190" s="23" t="str">
        <x:v>Regular</x:v>
      </x:c>
      <x:c r="E190" s="23" t="str">
        <x:v>CE 3213</x:v>
      </x:c>
      <x:c r="F190" s="173" t="str">
        <x:v>Reinforced Concrete Structures - II</x:v>
      </x:c>
      <x:c r="G190" s="23" t="str">
        <x:v>11:30 AM–12:20 PM</x:v>
      </x:c>
      <x:c r="H190" s="23" t="str">
        <x:v>MKI</x:v>
      </x:c>
      <x:c r="I190" s="23" t="str">
        <x:v>405</x:v>
      </x:c>
      <x:c r="J190" s="23" t="str">
        <x:v>TUES P5</x:v>
      </x:c>
      <x:c r="K190" s="131" t="str"/>
      <x:c r="L190" s="143" t="str"/>
      <x:c r="M190" s="143" t="str"/>
      <x:c r="N190" s="143" t="str"/>
      <x:c r="O190" s="173" t="str"/>
      <x:c r="P190" s="159" t="str">
        <x:f>IF(COUNTIF('Routine &amp; Settings'!$I$5:$I$30,A190)&gt;0,"No",IF(E190="BECM 3204",IF(J190='Routine &amp; Settings'!$B$5,"Yes","No"),IF(E190="BECM 3208",IF(J190='Routine &amp; Settings'!$B$6,"Yes","No"),IF(E190="CE 3224",IF(J190='Routine &amp; Settings'!$B$7,"Yes","No"),IF(E190="BECM 3200",IF('Routine &amp; Settings'!$B$8="Odd Weeks",IF(MOD(C190,2)=1,"Yes","No"),IF(MOD(C190,2)=0,"Yes","No")),"Yes")))))</x:f>
        <x:v>Yes</x:v>
      </x:c>
    </x:row>
    <x:row r="191">
      <x:c r="A191" s="123" t="n">
        <x:v>46336</x:v>
      </x:c>
      <x:c r="B191" s="23" t="str">
        <x:v>Tue</x:v>
      </x:c>
      <x:c r="C191" s="23" t="n">
        <x:v>9</x:v>
      </x:c>
      <x:c r="D191" s="23" t="str">
        <x:v>Regular</x:v>
      </x:c>
      <x:c r="E191" s="23" t="str">
        <x:v>BECM 3201</x:v>
      </x:c>
      <x:c r="F191" s="173" t="str">
        <x:v>Construction and Project Management - II</x:v>
      </x:c>
      <x:c r="G191" s="23" t="str">
        <x:v>12:20 PM–01:10 PM</x:v>
      </x:c>
      <x:c r="H191" s="23" t="str">
        <x:v>MRA</x:v>
      </x:c>
      <x:c r="I191" s="23" t="str">
        <x:v>405</x:v>
      </x:c>
      <x:c r="J191" s="23" t="str">
        <x:v>TUES P6</x:v>
      </x:c>
      <x:c r="K191" s="131" t="str"/>
      <x:c r="L191" s="143" t="str"/>
      <x:c r="M191" s="143" t="str"/>
      <x:c r="N191" s="143" t="str"/>
      <x:c r="O191" s="173" t="str"/>
      <x:c r="P191" s="159" t="str">
        <x:f>IF(COUNTIF('Routine &amp; Settings'!$I$5:$I$30,A191)&gt;0,"No",IF(E191="BECM 3204",IF(J191='Routine &amp; Settings'!$B$5,"Yes","No"),IF(E191="BECM 3208",IF(J191='Routine &amp; Settings'!$B$6,"Yes","No"),IF(E191="CE 3224",IF(J191='Routine &amp; Settings'!$B$7,"Yes","No"),IF(E191="BECM 3200",IF('Routine &amp; Settings'!$B$8="Odd Weeks",IF(MOD(C191,2)=1,"Yes","No"),IF(MOD(C191,2)=0,"Yes","No")),"Yes")))))</x:f>
        <x:v>Yes</x:v>
      </x:c>
    </x:row>
    <x:row r="192">
      <x:c r="A192" s="123" t="n">
        <x:v>46336</x:v>
      </x:c>
      <x:c r="B192" s="23" t="str">
        <x:v>Tue</x:v>
      </x:c>
      <x:c r="C192" s="23" t="n">
        <x:v>9</x:v>
      </x:c>
      <x:c r="D192" s="23" t="str">
        <x:v>Regular</x:v>
      </x:c>
      <x:c r="E192" s="23" t="str">
        <x:v>BECM 3208</x:v>
      </x:c>
      <x:c r="F192" s="173" t="str">
        <x:v>Landscape Design</x:v>
      </x:c>
      <x:c r="G192" s="23" t="str">
        <x:v>02:30 PM–05:00 PM</x:v>
      </x:c>
      <x:c r="H192" s="23" t="str">
        <x:v>MSH/MSA</x:v>
      </x:c>
      <x:c r="I192" s="23" t="str"/>
      <x:c r="J192" s="23" t="str">
        <x:v>Tue PM</x:v>
      </x:c>
      <x:c r="K192" s="131" t="str"/>
      <x:c r="L192" s="143" t="str"/>
      <x:c r="M192" s="143" t="str"/>
      <x:c r="N192" s="143" t="str"/>
      <x:c r="O192" s="173" t="str"/>
      <x:c r="P192" s="159" t="str">
        <x:f>IF(COUNTIF('Routine &amp; Settings'!$I$5:$I$30,A192)&gt;0,"No",IF(E192="BECM 3204",IF(J192='Routine &amp; Settings'!$B$5,"Yes","No"),IF(E192="BECM 3208",IF(J192='Routine &amp; Settings'!$B$6,"Yes","No"),IF(E192="CE 3224",IF(J192='Routine &amp; Settings'!$B$7,"Yes","No"),IF(E192="BECM 3200",IF('Routine &amp; Settings'!$B$8="Odd Weeks",IF(MOD(C192,2)=1,"Yes","No"),IF(MOD(C192,2)=0,"Yes","No")),"Yes")))))</x:f>
        <x:v>Yes</x:v>
      </x:c>
    </x:row>
    <x:row r="193">
      <x:c r="A193" s="123" t="n">
        <x:v>46337</x:v>
      </x:c>
      <x:c r="B193" s="23" t="str">
        <x:v>Wed</x:v>
      </x:c>
      <x:c r="C193" s="23" t="n">
        <x:v>9</x:v>
      </x:c>
      <x:c r="D193" s="23" t="str">
        <x:v>Regular</x:v>
      </x:c>
      <x:c r="E193" s="23" t="str">
        <x:v>CE 3213</x:v>
      </x:c>
      <x:c r="F193" s="173" t="str">
        <x:v>Reinforced Concrete Structures - II</x:v>
      </x:c>
      <x:c r="G193" s="23" t="str">
        <x:v>09:40 AM–10:30 AM</x:v>
      </x:c>
      <x:c r="H193" s="23" t="str">
        <x:v>HRS/MKI</x:v>
      </x:c>
      <x:c r="I193" s="23" t="str">
        <x:v>501</x:v>
      </x:c>
      <x:c r="J193" s="23" t="str">
        <x:v>WED P3</x:v>
      </x:c>
      <x:c r="K193" s="131" t="str"/>
      <x:c r="L193" s="143" t="str"/>
      <x:c r="M193" s="143" t="str"/>
      <x:c r="N193" s="143" t="str"/>
      <x:c r="O193" s="173" t="str"/>
      <x:c r="P193" s="159" t="str">
        <x:f>IF(COUNTIF('Routine &amp; Settings'!$I$5:$I$30,A193)&gt;0,"No",IF(E193="BECM 3204",IF(J193='Routine &amp; Settings'!$B$5,"Yes","No"),IF(E193="BECM 3208",IF(J193='Routine &amp; Settings'!$B$6,"Yes","No"),IF(E193="CE 3224",IF(J193='Routine &amp; Settings'!$B$7,"Yes","No"),IF(E193="BECM 3200",IF('Routine &amp; Settings'!$B$8="Odd Weeks",IF(MOD(C193,2)=1,"Yes","No"),IF(MOD(C193,2)=0,"Yes","No")),"Yes")))))</x:f>
        <x:v>Yes</x:v>
      </x:c>
    </x:row>
    <x:row r="194">
      <x:c r="A194" s="123" t="n">
        <x:v>46337</x:v>
      </x:c>
      <x:c r="B194" s="23" t="str">
        <x:v>Wed</x:v>
      </x:c>
      <x:c r="C194" s="23" t="n">
        <x:v>9</x:v>
      </x:c>
      <x:c r="D194" s="23" t="str">
        <x:v>Regular</x:v>
      </x:c>
      <x:c r="E194" s="23" t="str">
        <x:v>CE 3211</x:v>
      </x:c>
      <x:c r="F194" s="173" t="str">
        <x:v>Structural Analysis and Design - II</x:v>
      </x:c>
      <x:c r="G194" s="23" t="str">
        <x:v>10:40 AM–11:30 AM</x:v>
      </x:c>
      <x:c r="H194" s="23" t="str">
        <x:v>ATB</x:v>
      </x:c>
      <x:c r="I194" s="23" t="str">
        <x:v>501</x:v>
      </x:c>
      <x:c r="J194" s="23" t="str">
        <x:v>WED P4</x:v>
      </x:c>
      <x:c r="K194" s="131" t="str"/>
      <x:c r="L194" s="143" t="str"/>
      <x:c r="M194" s="143" t="str"/>
      <x:c r="N194" s="143" t="str"/>
      <x:c r="O194" s="173" t="str"/>
      <x:c r="P194" s="159" t="str">
        <x:f>IF(COUNTIF('Routine &amp; Settings'!$I$5:$I$30,A194)&gt;0,"No",IF(E194="BECM 3204",IF(J194='Routine &amp; Settings'!$B$5,"Yes","No"),IF(E194="BECM 3208",IF(J194='Routine &amp; Settings'!$B$6,"Yes","No"),IF(E194="CE 3224",IF(J194='Routine &amp; Settings'!$B$7,"Yes","No"),IF(E194="BECM 3200",IF('Routine &amp; Settings'!$B$8="Odd Weeks",IF(MOD(C194,2)=1,"Yes","No"),IF(MOD(C194,2)=0,"Yes","No")),"Yes")))))</x:f>
        <x:v>Yes</x:v>
      </x:c>
    </x:row>
    <x:row r="195">
      <x:c r="A195" s="123" t="n">
        <x:v>46337</x:v>
      </x:c>
      <x:c r="B195" s="23" t="str">
        <x:v>Wed</x:v>
      </x:c>
      <x:c r="C195" s="23" t="n">
        <x:v>9</x:v>
      </x:c>
      <x:c r="D195" s="23" t="str">
        <x:v>Regular</x:v>
      </x:c>
      <x:c r="E195" s="23" t="str">
        <x:v>CE 3223</x:v>
      </x:c>
      <x:c r="F195" s="173" t="str">
        <x:v>Soil Mechanics</x:v>
      </x:c>
      <x:c r="G195" s="23" t="str">
        <x:v>11:30 AM–12:20 PM</x:v>
      </x:c>
      <x:c r="H195" s="23" t="str">
        <x:v>MHI</x:v>
      </x:c>
      <x:c r="I195" s="23" t="str">
        <x:v>501</x:v>
      </x:c>
      <x:c r="J195" s="23" t="str">
        <x:v>WED P5</x:v>
      </x:c>
      <x:c r="K195" s="131" t="str"/>
      <x:c r="L195" s="143" t="str"/>
      <x:c r="M195" s="143" t="str"/>
      <x:c r="N195" s="143" t="str"/>
      <x:c r="O195" s="173" t="str"/>
      <x:c r="P195" s="159" t="str">
        <x:f>IF(COUNTIF('Routine &amp; Settings'!$I$5:$I$30,A195)&gt;0,"No",IF(E195="BECM 3204",IF(J195='Routine &amp; Settings'!$B$5,"Yes","No"),IF(E195="BECM 3208",IF(J195='Routine &amp; Settings'!$B$6,"Yes","No"),IF(E195="CE 3224",IF(J195='Routine &amp; Settings'!$B$7,"Yes","No"),IF(E195="BECM 3200",IF('Routine &amp; Settings'!$B$8="Odd Weeks",IF(MOD(C195,2)=1,"Yes","No"),IF(MOD(C195,2)=0,"Yes","No")),"Yes")))))</x:f>
        <x:v>Yes</x:v>
      </x:c>
    </x:row>
    <x:row r="196">
      <x:c r="A196" s="123" t="n">
        <x:v>46337</x:v>
      </x:c>
      <x:c r="B196" s="23" t="str">
        <x:v>Wed</x:v>
      </x:c>
      <x:c r="C196" s="23" t="n">
        <x:v>9</x:v>
      </x:c>
      <x:c r="D196" s="23" t="str">
        <x:v>Regular</x:v>
      </x:c>
      <x:c r="E196" s="23" t="str">
        <x:v>BECM 3205</x:v>
      </x:c>
      <x:c r="F196" s="173" t="str">
        <x:v>Acoustics and Lighting</x:v>
      </x:c>
      <x:c r="G196" s="23" t="str">
        <x:v>12:20 PM–01:10 PM</x:v>
      </x:c>
      <x:c r="H196" s="23" t="str">
        <x:v>MSH/AAM</x:v>
      </x:c>
      <x:c r="I196" s="23" t="str">
        <x:v>501</x:v>
      </x:c>
      <x:c r="J196" s="23" t="str">
        <x:v>WED P6</x:v>
      </x:c>
      <x:c r="K196" s="131" t="str"/>
      <x:c r="L196" s="143" t="str"/>
      <x:c r="M196" s="143" t="str"/>
      <x:c r="N196" s="143" t="str"/>
      <x:c r="O196" s="173" t="str"/>
      <x:c r="P196" s="159" t="str">
        <x:f>IF(COUNTIF('Routine &amp; Settings'!$I$5:$I$30,A196)&gt;0,"No",IF(E196="BECM 3204",IF(J196='Routine &amp; Settings'!$B$5,"Yes","No"),IF(E196="BECM 3208",IF(J196='Routine &amp; Settings'!$B$6,"Yes","No"),IF(E196="CE 3224",IF(J196='Routine &amp; Settings'!$B$7,"Yes","No"),IF(E196="BECM 3200",IF('Routine &amp; Settings'!$B$8="Odd Weeks",IF(MOD(C196,2)=1,"Yes","No"),IF(MOD(C196,2)=0,"Yes","No")),"Yes")))))</x:f>
        <x:v>Yes</x:v>
      </x:c>
    </x:row>
    <x:row r="197">
      <x:c r="A197" s="123" t="n">
        <x:v>46337</x:v>
      </x:c>
      <x:c r="B197" s="23" t="str">
        <x:v>Wed</x:v>
      </x:c>
      <x:c r="C197" s="23" t="n">
        <x:v>9</x:v>
      </x:c>
      <x:c r="D197" s="23" t="str">
        <x:v>Regular</x:v>
      </x:c>
      <x:c r="E197" s="23" t="str">
        <x:v>BECM 3208</x:v>
      </x:c>
      <x:c r="F197" s="173" t="str">
        <x:v>Landscape Design</x:v>
      </x:c>
      <x:c r="G197" s="23" t="str">
        <x:v>02:30 PM–05:00 PM</x:v>
      </x:c>
      <x:c r="H197" s="23" t="str">
        <x:v>MSH/MSA</x:v>
      </x:c>
      <x:c r="I197" s="23" t="str">
        <x:v>501</x:v>
      </x:c>
      <x:c r="J197" s="23" t="str">
        <x:v>Wed PM</x:v>
      </x:c>
      <x:c r="K197" s="131" t="str"/>
      <x:c r="L197" s="143" t="str"/>
      <x:c r="M197" s="143" t="str"/>
      <x:c r="N197" s="143" t="str"/>
      <x:c r="O197" s="173" t="str"/>
      <x:c r="P197" s="159" t="str">
        <x:f>IF(COUNTIF('Routine &amp; Settings'!$I$5:$I$30,A197)&gt;0,"No",IF(E197="BECM 3204",IF(J197='Routine &amp; Settings'!$B$5,"Yes","No"),IF(E197="BECM 3208",IF(J197='Routine &amp; Settings'!$B$6,"Yes","No"),IF(E197="CE 3224",IF(J197='Routine &amp; Settings'!$B$7,"Yes","No"),IF(E197="BECM 3200",IF('Routine &amp; Settings'!$B$8="Odd Weeks",IF(MOD(C197,2)=1,"Yes","No"),IF(MOD(C197,2)=0,"Yes","No")),"Yes")))))</x:f>
        <x:v>No</x:v>
      </x:c>
    </x:row>
    <x:row r="198">
      <x:c r="A198" s="123" t="n">
        <x:v>46338</x:v>
      </x:c>
      <x:c r="B198" s="23" t="str">
        <x:v>Thu</x:v>
      </x:c>
      <x:c r="C198" s="23" t="n">
        <x:v>9</x:v>
      </x:c>
      <x:c r="D198" s="23" t="str">
        <x:v>Regular</x:v>
      </x:c>
      <x:c r="E198" s="23" t="str">
        <x:v>BECM 3204</x:v>
      </x:c>
      <x:c r="F198" s="173" t="str">
        <x:v>Construction Techniques and Equipments - II</x:v>
      </x:c>
      <x:c r="G198" s="23" t="str">
        <x:v>08:00 AM–10:30 AM</x:v>
      </x:c>
      <x:c r="H198" s="23" t="str">
        <x:v>HRS/MR</x:v>
      </x:c>
      <x:c r="I198" s="23" t="str"/>
      <x:c r="J198" s="23" t="str">
        <x:v>Thu AM</x:v>
      </x:c>
      <x:c r="K198" s="131" t="str"/>
      <x:c r="L198" s="143" t="str"/>
      <x:c r="M198" s="143" t="str"/>
      <x:c r="N198" s="143" t="str"/>
      <x:c r="O198" s="173" t="str"/>
      <x:c r="P198" s="159" t="str">
        <x:f>IF(COUNTIF('Routine &amp; Settings'!$I$5:$I$30,A198)&gt;0,"No",IF(E198="BECM 3204",IF(J198='Routine &amp; Settings'!$B$5,"Yes","No"),IF(E198="BECM 3208",IF(J198='Routine &amp; Settings'!$B$6,"Yes","No"),IF(E198="CE 3224",IF(J198='Routine &amp; Settings'!$B$7,"Yes","No"),IF(E198="BECM 3200",IF('Routine &amp; Settings'!$B$8="Odd Weeks",IF(MOD(C198,2)=1,"Yes","No"),IF(MOD(C198,2)=0,"Yes","No")),"Yes")))))</x:f>
        <x:v>No</x:v>
      </x:c>
    </x:row>
    <x:row r="199">
      <x:c r="A199" s="123" t="n">
        <x:v>46338</x:v>
      </x:c>
      <x:c r="B199" s="23" t="str">
        <x:v>Thu</x:v>
      </x:c>
      <x:c r="C199" s="23" t="n">
        <x:v>9</x:v>
      </x:c>
      <x:c r="D199" s="23" t="str">
        <x:v>Regular</x:v>
      </x:c>
      <x:c r="E199" s="23" t="str">
        <x:v>BECM 3205</x:v>
      </x:c>
      <x:c r="F199" s="173" t="str">
        <x:v>Acoustics and Lighting</x:v>
      </x:c>
      <x:c r="G199" s="23" t="str">
        <x:v>10:40 AM–11:30 AM</x:v>
      </x:c>
      <x:c r="H199" s="23" t="str">
        <x:v>MSH</x:v>
      </x:c>
      <x:c r="I199" s="23" t="str">
        <x:v>406</x:v>
      </x:c>
      <x:c r="J199" s="23" t="str">
        <x:v>THURS P4</x:v>
      </x:c>
      <x:c r="K199" s="131" t="str"/>
      <x:c r="L199" s="143" t="str"/>
      <x:c r="M199" s="143" t="str"/>
      <x:c r="N199" s="143" t="str"/>
      <x:c r="O199" s="173" t="str"/>
      <x:c r="P199" s="159" t="str">
        <x:f>IF(COUNTIF('Routine &amp; Settings'!$I$5:$I$30,A199)&gt;0,"No",IF(E199="BECM 3204",IF(J199='Routine &amp; Settings'!$B$5,"Yes","No"),IF(E199="BECM 3208",IF(J199='Routine &amp; Settings'!$B$6,"Yes","No"),IF(E199="CE 3224",IF(J199='Routine &amp; Settings'!$B$7,"Yes","No"),IF(E199="BECM 3200",IF('Routine &amp; Settings'!$B$8="Odd Weeks",IF(MOD(C199,2)=1,"Yes","No"),IF(MOD(C199,2)=0,"Yes","No")),"Yes")))))</x:f>
        <x:v>Yes</x:v>
      </x:c>
    </x:row>
    <x:row r="200">
      <x:c r="A200" s="123" t="n">
        <x:v>46338</x:v>
      </x:c>
      <x:c r="B200" s="23" t="str">
        <x:v>Thu</x:v>
      </x:c>
      <x:c r="C200" s="23" t="n">
        <x:v>9</x:v>
      </x:c>
      <x:c r="D200" s="23" t="str">
        <x:v>Regular</x:v>
      </x:c>
      <x:c r="E200" s="23" t="str">
        <x:v>CE 3211</x:v>
      </x:c>
      <x:c r="F200" s="173" t="str">
        <x:v>Structural Analysis and Design - II</x:v>
      </x:c>
      <x:c r="G200" s="23" t="str">
        <x:v>11:30 AM–12:20 PM</x:v>
      </x:c>
      <x:c r="H200" s="23" t="str">
        <x:v>MKI/ATB</x:v>
      </x:c>
      <x:c r="I200" s="23" t="str">
        <x:v>406</x:v>
      </x:c>
      <x:c r="J200" s="23" t="str">
        <x:v>THURS P5</x:v>
      </x:c>
      <x:c r="K200" s="131" t="str"/>
      <x:c r="L200" s="143" t="str"/>
      <x:c r="M200" s="143" t="str"/>
      <x:c r="N200" s="143" t="str"/>
      <x:c r="O200" s="173" t="str"/>
      <x:c r="P200" s="159" t="str">
        <x:f>IF(COUNTIF('Routine &amp; Settings'!$I$5:$I$30,A200)&gt;0,"No",IF(E200="BECM 3204",IF(J200='Routine &amp; Settings'!$B$5,"Yes","No"),IF(E200="BECM 3208",IF(J200='Routine &amp; Settings'!$B$6,"Yes","No"),IF(E200="CE 3224",IF(J200='Routine &amp; Settings'!$B$7,"Yes","No"),IF(E200="BECM 3200",IF('Routine &amp; Settings'!$B$8="Odd Weeks",IF(MOD(C200,2)=1,"Yes","No"),IF(MOD(C200,2)=0,"Yes","No")),"Yes")))))</x:f>
        <x:v>Yes</x:v>
      </x:c>
    </x:row>
    <x:row r="201">
      <x:c r="A201" s="123" t="n">
        <x:v>46338</x:v>
      </x:c>
      <x:c r="B201" s="23" t="str">
        <x:v>Thu</x:v>
      </x:c>
      <x:c r="C201" s="23" t="n">
        <x:v>9</x:v>
      </x:c>
      <x:c r="D201" s="23" t="str">
        <x:v>Regular</x:v>
      </x:c>
      <x:c r="E201" s="23" t="str">
        <x:v>BECM 3201</x:v>
      </x:c>
      <x:c r="F201" s="173" t="str">
        <x:v>Construction and Project Management - II</x:v>
      </x:c>
      <x:c r="G201" s="23" t="str">
        <x:v>12:20 PM–01:10 PM</x:v>
      </x:c>
      <x:c r="H201" s="23" t="str">
        <x:v>MR/MRA</x:v>
      </x:c>
      <x:c r="I201" s="23" t="str">
        <x:v>406</x:v>
      </x:c>
      <x:c r="J201" s="23" t="str">
        <x:v>THURS P6</x:v>
      </x:c>
      <x:c r="K201" s="131" t="str"/>
      <x:c r="L201" s="143" t="str"/>
      <x:c r="M201" s="143" t="str"/>
      <x:c r="N201" s="143" t="str"/>
      <x:c r="O201" s="173" t="str"/>
      <x:c r="P201" s="159" t="str">
        <x:f>IF(COUNTIF('Routine &amp; Settings'!$I$5:$I$30,A201)&gt;0,"No",IF(E201="BECM 3204",IF(J201='Routine &amp; Settings'!$B$5,"Yes","No"),IF(E201="BECM 3208",IF(J201='Routine &amp; Settings'!$B$6,"Yes","No"),IF(E201="CE 3224",IF(J201='Routine &amp; Settings'!$B$7,"Yes","No"),IF(E201="BECM 3200",IF('Routine &amp; Settings'!$B$8="Odd Weeks",IF(MOD(C201,2)=1,"Yes","No"),IF(MOD(C201,2)=0,"Yes","No")),"Yes")))))</x:f>
        <x:v>Yes</x:v>
      </x:c>
    </x:row>
    <x:row r="202">
      <x:c r="A202" s="123" t="n">
        <x:v>46338</x:v>
      </x:c>
      <x:c r="B202" s="23" t="str">
        <x:v>Thu</x:v>
      </x:c>
      <x:c r="C202" s="23" t="n">
        <x:v>9</x:v>
      </x:c>
      <x:c r="D202" s="23" t="str">
        <x:v>Regular</x:v>
      </x:c>
      <x:c r="E202" s="23" t="str">
        <x:v>CE 3224</x:v>
      </x:c>
      <x:c r="F202" s="173" t="str">
        <x:v>Sessional on Soil Mechanics</x:v>
      </x:c>
      <x:c r="G202" s="23" t="str">
        <x:v>02:30 PM–05:00 PM</x:v>
      </x:c>
      <x:c r="H202" s="23" t="str">
        <x:v>MHI/MRA</x:v>
      </x:c>
      <x:c r="I202" s="23" t="str">
        <x:v>405</x:v>
      </x:c>
      <x:c r="J202" s="23" t="str">
        <x:v>Thu PM</x:v>
      </x:c>
      <x:c r="K202" s="131" t="str"/>
      <x:c r="L202" s="143" t="str"/>
      <x:c r="M202" s="143" t="str"/>
      <x:c r="N202" s="143" t="str"/>
      <x:c r="O202" s="173" t="str"/>
      <x:c r="P202" s="159" t="str">
        <x:f>IF(COUNTIF('Routine &amp; Settings'!$I$5:$I$30,A202)&gt;0,"No",IF(E202="BECM 3204",IF(J202='Routine &amp; Settings'!$B$5,"Yes","No"),IF(E202="BECM 3208",IF(J202='Routine &amp; Settings'!$B$6,"Yes","No"),IF(E202="CE 3224",IF(J202='Routine &amp; Settings'!$B$7,"Yes","No"),IF(E202="BECM 3200",IF('Routine &amp; Settings'!$B$8="Odd Weeks",IF(MOD(C202,2)=1,"Yes","No"),IF(MOD(C202,2)=0,"Yes","No")),"Yes")))))</x:f>
        <x:v>No</x:v>
      </x:c>
    </x:row>
    <x:row r="203">
      <x:c r="A203" s="123" t="n">
        <x:v>46341</x:v>
      </x:c>
      <x:c r="B203" s="23" t="str">
        <x:v>Sun</x:v>
      </x:c>
      <x:c r="C203" s="23" t="n">
        <x:v>10</x:v>
      </x:c>
      <x:c r="D203" s="23" t="str">
        <x:v>Regular</x:v>
      </x:c>
      <x:c r="E203" s="23" t="str">
        <x:v>CE 3213</x:v>
      </x:c>
      <x:c r="F203" s="173" t="str">
        <x:v>Reinforced Concrete Structures - II</x:v>
      </x:c>
      <x:c r="G203" s="23" t="str">
        <x:v>10:40 AM–11:30 AM</x:v>
      </x:c>
      <x:c r="H203" s="23" t="str">
        <x:v>HRS</x:v>
      </x:c>
      <x:c r="I203" s="23" t="str">
        <x:v>501</x:v>
      </x:c>
      <x:c r="J203" s="23" t="str">
        <x:v>SUN P4</x:v>
      </x:c>
      <x:c r="K203" s="131" t="str"/>
      <x:c r="L203" s="143" t="str"/>
      <x:c r="M203" s="143" t="str"/>
      <x:c r="N203" s="143" t="str"/>
      <x:c r="O203" s="173" t="str"/>
      <x:c r="P203" s="159" t="str">
        <x:f>IF(COUNTIF('Routine &amp; Settings'!$I$5:$I$30,A203)&gt;0,"No",IF(E203="BECM 3204",IF(J203='Routine &amp; Settings'!$B$5,"Yes","No"),IF(E203="BECM 3208",IF(J203='Routine &amp; Settings'!$B$6,"Yes","No"),IF(E203="CE 3224",IF(J203='Routine &amp; Settings'!$B$7,"Yes","No"),IF(E203="BECM 3200",IF('Routine &amp; Settings'!$B$8="Odd Weeks",IF(MOD(C203,2)=1,"Yes","No"),IF(MOD(C203,2)=0,"Yes","No")),"Yes")))))</x:f>
        <x:v>Yes</x:v>
      </x:c>
    </x:row>
    <x:row r="204">
      <x:c r="A204" s="123" t="n">
        <x:v>46341</x:v>
      </x:c>
      <x:c r="B204" s="23" t="str">
        <x:v>Sun</x:v>
      </x:c>
      <x:c r="C204" s="23" t="n">
        <x:v>10</x:v>
      </x:c>
      <x:c r="D204" s="23" t="str">
        <x:v>Regular</x:v>
      </x:c>
      <x:c r="E204" s="23" t="str">
        <x:v>CE 3223</x:v>
      </x:c>
      <x:c r="F204" s="173" t="str">
        <x:v>Soil Mechanics</x:v>
      </x:c>
      <x:c r="G204" s="23" t="str">
        <x:v>11:30 AM–12:20 PM</x:v>
      </x:c>
      <x:c r="H204" s="23" t="str">
        <x:v>MSA</x:v>
      </x:c>
      <x:c r="I204" s="23" t="str">
        <x:v>501</x:v>
      </x:c>
      <x:c r="J204" s="23" t="str">
        <x:v>SUN P5</x:v>
      </x:c>
      <x:c r="K204" s="131" t="str"/>
      <x:c r="L204" s="143" t="str"/>
      <x:c r="M204" s="143" t="str"/>
      <x:c r="N204" s="143" t="str"/>
      <x:c r="O204" s="173" t="str"/>
      <x:c r="P204" s="159" t="str">
        <x:f>IF(COUNTIF('Routine &amp; Settings'!$I$5:$I$30,A204)&gt;0,"No",IF(E204="BECM 3204",IF(J204='Routine &amp; Settings'!$B$5,"Yes","No"),IF(E204="BECM 3208",IF(J204='Routine &amp; Settings'!$B$6,"Yes","No"),IF(E204="CE 3224",IF(J204='Routine &amp; Settings'!$B$7,"Yes","No"),IF(E204="BECM 3200",IF('Routine &amp; Settings'!$B$8="Odd Weeks",IF(MOD(C204,2)=1,"Yes","No"),IF(MOD(C204,2)=0,"Yes","No")),"Yes")))))</x:f>
        <x:v>Yes</x:v>
      </x:c>
    </x:row>
    <x:row r="205">
      <x:c r="A205" s="123" t="n">
        <x:v>46341</x:v>
      </x:c>
      <x:c r="B205" s="23" t="str">
        <x:v>Sun</x:v>
      </x:c>
      <x:c r="C205" s="23" t="n">
        <x:v>10</x:v>
      </x:c>
      <x:c r="D205" s="23" t="str">
        <x:v>Regular</x:v>
      </x:c>
      <x:c r="E205" s="23" t="str">
        <x:v>CE 3211</x:v>
      </x:c>
      <x:c r="F205" s="173" t="str">
        <x:v>Structural Analysis and Design - II</x:v>
      </x:c>
      <x:c r="G205" s="23" t="str">
        <x:v>12:20 PM–01:10 PM</x:v>
      </x:c>
      <x:c r="H205" s="23" t="str">
        <x:v>MKI</x:v>
      </x:c>
      <x:c r="I205" s="23" t="str">
        <x:v>501</x:v>
      </x:c>
      <x:c r="J205" s="23" t="str">
        <x:v>SUN P6</x:v>
      </x:c>
      <x:c r="K205" s="131" t="str"/>
      <x:c r="L205" s="143" t="str"/>
      <x:c r="M205" s="143" t="str"/>
      <x:c r="N205" s="143" t="str"/>
      <x:c r="O205" s="173" t="str"/>
      <x:c r="P205" s="159" t="str">
        <x:f>IF(COUNTIF('Routine &amp; Settings'!$I$5:$I$30,A205)&gt;0,"No",IF(E205="BECM 3204",IF(J205='Routine &amp; Settings'!$B$5,"Yes","No"),IF(E205="BECM 3208",IF(J205='Routine &amp; Settings'!$B$6,"Yes","No"),IF(E205="CE 3224",IF(J205='Routine &amp; Settings'!$B$7,"Yes","No"),IF(E205="BECM 3200",IF('Routine &amp; Settings'!$B$8="Odd Weeks",IF(MOD(C205,2)=1,"Yes","No"),IF(MOD(C205,2)=0,"Yes","No")),"Yes")))))</x:f>
        <x:v>Yes</x:v>
      </x:c>
    </x:row>
    <x:row r="206">
      <x:c r="A206" s="123" t="n">
        <x:v>46341</x:v>
      </x:c>
      <x:c r="B206" s="23" t="str">
        <x:v>Sun</x:v>
      </x:c>
      <x:c r="C206" s="23" t="n">
        <x:v>10</x:v>
      </x:c>
      <x:c r="D206" s="23" t="str">
        <x:v>Regular</x:v>
      </x:c>
      <x:c r="E206" s="23" t="str">
        <x:v>BECM 3204</x:v>
      </x:c>
      <x:c r="F206" s="173" t="str">
        <x:v>Construction Techniques and Equipments - II</x:v>
      </x:c>
      <x:c r="G206" s="23" t="str">
        <x:v>02:30 PM–05:00 PM</x:v>
      </x:c>
      <x:c r="H206" s="23" t="str">
        <x:v>HRS/MR</x:v>
      </x:c>
      <x:c r="I206" s="23" t="str">
        <x:v>404</x:v>
      </x:c>
      <x:c r="J206" s="23" t="str">
        <x:v>Sun PM</x:v>
      </x:c>
      <x:c r="K206" s="131" t="str"/>
      <x:c r="L206" s="143" t="str"/>
      <x:c r="M206" s="143" t="str"/>
      <x:c r="N206" s="143" t="str"/>
      <x:c r="O206" s="173" t="str"/>
      <x:c r="P206" s="159" t="str">
        <x:f>IF(COUNTIF('Routine &amp; Settings'!$I$5:$I$30,A206)&gt;0,"No",IF(E206="BECM 3204",IF(J206='Routine &amp; Settings'!$B$5,"Yes","No"),IF(E206="BECM 3208",IF(J206='Routine &amp; Settings'!$B$6,"Yes","No"),IF(E206="CE 3224",IF(J206='Routine &amp; Settings'!$B$7,"Yes","No"),IF(E206="BECM 3200",IF('Routine &amp; Settings'!$B$8="Odd Weeks",IF(MOD(C206,2)=1,"Yes","No"),IF(MOD(C206,2)=0,"Yes","No")),"Yes")))))</x:f>
        <x:v>Yes</x:v>
      </x:c>
    </x:row>
    <x:row r="207">
      <x:c r="A207" s="123" t="n">
        <x:v>46342</x:v>
      </x:c>
      <x:c r="B207" s="23" t="str">
        <x:v>Mon</x:v>
      </x:c>
      <x:c r="C207" s="23" t="n">
        <x:v>10</x:v>
      </x:c>
      <x:c r="D207" s="23" t="str">
        <x:v>Regular</x:v>
      </x:c>
      <x:c r="E207" s="23" t="str">
        <x:v>CE 3223</x:v>
      </x:c>
      <x:c r="F207" s="173" t="str">
        <x:v>Soil Mechanics</x:v>
      </x:c>
      <x:c r="G207" s="23" t="str">
        <x:v>09:40 AM–10:30 AM</x:v>
      </x:c>
      <x:c r="H207" s="23" t="str">
        <x:v>MHI/MSA</x:v>
      </x:c>
      <x:c r="I207" s="23" t="str">
        <x:v>404</x:v>
      </x:c>
      <x:c r="J207" s="23" t="str">
        <x:v>MON P3</x:v>
      </x:c>
      <x:c r="K207" s="131" t="str"/>
      <x:c r="L207" s="143" t="str"/>
      <x:c r="M207" s="143" t="str"/>
      <x:c r="N207" s="143" t="str"/>
      <x:c r="O207" s="173" t="str"/>
      <x:c r="P207" s="159" t="str">
        <x:f>IF(COUNTIF('Routine &amp; Settings'!$I$5:$I$30,A207)&gt;0,"No",IF(E207="BECM 3204",IF(J207='Routine &amp; Settings'!$B$5,"Yes","No"),IF(E207="BECM 3208",IF(J207='Routine &amp; Settings'!$B$6,"Yes","No"),IF(E207="CE 3224",IF(J207='Routine &amp; Settings'!$B$7,"Yes","No"),IF(E207="BECM 3200",IF('Routine &amp; Settings'!$B$8="Odd Weeks",IF(MOD(C207,2)=1,"Yes","No"),IF(MOD(C207,2)=0,"Yes","No")),"Yes")))))</x:f>
        <x:v>Yes</x:v>
      </x:c>
    </x:row>
    <x:row r="208">
      <x:c r="A208" s="123" t="n">
        <x:v>46342</x:v>
      </x:c>
      <x:c r="B208" s="23" t="str">
        <x:v>Mon</x:v>
      </x:c>
      <x:c r="C208" s="23" t="n">
        <x:v>10</x:v>
      </x:c>
      <x:c r="D208" s="23" t="str">
        <x:v>Regular</x:v>
      </x:c>
      <x:c r="E208" s="23" t="str">
        <x:v>BECM 3201</x:v>
      </x:c>
      <x:c r="F208" s="173" t="str">
        <x:v>Construction and Project Management - II</x:v>
      </x:c>
      <x:c r="G208" s="23" t="str">
        <x:v>11:30 AM–12:20 PM</x:v>
      </x:c>
      <x:c r="H208" s="23" t="str">
        <x:v>MR</x:v>
      </x:c>
      <x:c r="I208" s="23" t="str">
        <x:v>405</x:v>
      </x:c>
      <x:c r="J208" s="23" t="str">
        <x:v>MON P5</x:v>
      </x:c>
      <x:c r="K208" s="131" t="str"/>
      <x:c r="L208" s="143" t="str"/>
      <x:c r="M208" s="143" t="str"/>
      <x:c r="N208" s="143" t="str"/>
      <x:c r="O208" s="173" t="str"/>
      <x:c r="P208" s="159" t="str">
        <x:f>IF(COUNTIF('Routine &amp; Settings'!$I$5:$I$30,A208)&gt;0,"No",IF(E208="BECM 3204",IF(J208='Routine &amp; Settings'!$B$5,"Yes","No"),IF(E208="BECM 3208",IF(J208='Routine &amp; Settings'!$B$6,"Yes","No"),IF(E208="CE 3224",IF(J208='Routine &amp; Settings'!$B$7,"Yes","No"),IF(E208="BECM 3200",IF('Routine &amp; Settings'!$B$8="Odd Weeks",IF(MOD(C208,2)=1,"Yes","No"),IF(MOD(C208,2)=0,"Yes","No")),"Yes")))))</x:f>
        <x:v>Yes</x:v>
      </x:c>
    </x:row>
    <x:row r="209">
      <x:c r="A209" s="123" t="n">
        <x:v>46342</x:v>
      </x:c>
      <x:c r="B209" s="23" t="str">
        <x:v>Mon</x:v>
      </x:c>
      <x:c r="C209" s="23" t="n">
        <x:v>10</x:v>
      </x:c>
      <x:c r="D209" s="23" t="str">
        <x:v>Regular</x:v>
      </x:c>
      <x:c r="E209" s="23" t="str">
        <x:v>BECM 3205</x:v>
      </x:c>
      <x:c r="F209" s="173" t="str">
        <x:v>Acoustics and Lighting</x:v>
      </x:c>
      <x:c r="G209" s="23" t="str">
        <x:v>12:20 PM–01:10 PM</x:v>
      </x:c>
      <x:c r="H209" s="23" t="str">
        <x:v>AAM</x:v>
      </x:c>
      <x:c r="I209" s="23" t="str">
        <x:v>405</x:v>
      </x:c>
      <x:c r="J209" s="23" t="str">
        <x:v>MON P6</x:v>
      </x:c>
      <x:c r="K209" s="131" t="str"/>
      <x:c r="L209" s="143" t="str"/>
      <x:c r="M209" s="143" t="str"/>
      <x:c r="N209" s="143" t="str"/>
      <x:c r="O209" s="173" t="str"/>
      <x:c r="P209" s="159" t="str">
        <x:f>IF(COUNTIF('Routine &amp; Settings'!$I$5:$I$30,A209)&gt;0,"No",IF(E209="BECM 3204",IF(J209='Routine &amp; Settings'!$B$5,"Yes","No"),IF(E209="BECM 3208",IF(J209='Routine &amp; Settings'!$B$6,"Yes","No"),IF(E209="CE 3224",IF(J209='Routine &amp; Settings'!$B$7,"Yes","No"),IF(E209="BECM 3200",IF('Routine &amp; Settings'!$B$8="Odd Weeks",IF(MOD(C209,2)=1,"Yes","No"),IF(MOD(C209,2)=0,"Yes","No")),"Yes")))))</x:f>
        <x:v>Yes</x:v>
      </x:c>
    </x:row>
    <x:row r="210">
      <x:c r="A210" s="123" t="n">
        <x:v>46342</x:v>
      </x:c>
      <x:c r="B210" s="23" t="str">
        <x:v>Mon</x:v>
      </x:c>
      <x:c r="C210" s="23" t="n">
        <x:v>10</x:v>
      </x:c>
      <x:c r="D210" s="23" t="str">
        <x:v>Regular</x:v>
      </x:c>
      <x:c r="E210" s="23" t="str">
        <x:v>BECM 3200</x:v>
      </x:c>
      <x:c r="F210" s="173" t="str">
        <x:v>Project and Seminar</x:v>
      </x:c>
      <x:c r="G210" s="23" t="str">
        <x:v>02:30 PM–05:00 PM</x:v>
      </x:c>
      <x:c r="H210" s="23" t="str">
        <x:v>ALL</x:v>
      </x:c>
      <x:c r="I210" s="23" t="str"/>
      <x:c r="J210" s="23" t="str">
        <x:v>Mon PM</x:v>
      </x:c>
      <x:c r="K210" s="131" t="str"/>
      <x:c r="L210" s="143" t="str"/>
      <x:c r="M210" s="143" t="str"/>
      <x:c r="N210" s="143" t="str"/>
      <x:c r="O210" s="173" t="str"/>
      <x:c r="P210" s="159" t="str">
        <x:f>IF(COUNTIF('Routine &amp; Settings'!$I$5:$I$30,A210)&gt;0,"No",IF(E210="BECM 3204",IF(J210='Routine &amp; Settings'!$B$5,"Yes","No"),IF(E210="BECM 3208",IF(J210='Routine &amp; Settings'!$B$6,"Yes","No"),IF(E210="CE 3224",IF(J210='Routine &amp; Settings'!$B$7,"Yes","No"),IF(E210="BECM 3200",IF('Routine &amp; Settings'!$B$8="Odd Weeks",IF(MOD(C210,2)=1,"Yes","No"),IF(MOD(C210,2)=0,"Yes","No")),"Yes")))))</x:f>
        <x:v>No</x:v>
      </x:c>
    </x:row>
    <x:row r="211">
      <x:c r="A211" s="123" t="n">
        <x:v>46343</x:v>
      </x:c>
      <x:c r="B211" s="23" t="str">
        <x:v>Tue</x:v>
      </x:c>
      <x:c r="C211" s="23" t="n">
        <x:v>10</x:v>
      </x:c>
      <x:c r="D211" s="23" t="str">
        <x:v>Regular</x:v>
      </x:c>
      <x:c r="E211" s="23" t="str">
        <x:v>CE 3224</x:v>
      </x:c>
      <x:c r="F211" s="173" t="str">
        <x:v>Sessional on Soil Mechanics</x:v>
      </x:c>
      <x:c r="G211" s="23" t="str">
        <x:v>08:00 AM–10:30 AM</x:v>
      </x:c>
      <x:c r="H211" s="23" t="str">
        <x:v>MHI/MRA</x:v>
      </x:c>
      <x:c r="I211" s="23" t="str"/>
      <x:c r="J211" s="23" t="str">
        <x:v>Tue AM</x:v>
      </x:c>
      <x:c r="K211" s="131" t="str"/>
      <x:c r="L211" s="143" t="str"/>
      <x:c r="M211" s="143" t="str"/>
      <x:c r="N211" s="143" t="str"/>
      <x:c r="O211" s="173" t="str"/>
      <x:c r="P211" s="159" t="str">
        <x:f>IF(COUNTIF('Routine &amp; Settings'!$I$5:$I$30,A211)&gt;0,"No",IF(E211="BECM 3204",IF(J211='Routine &amp; Settings'!$B$5,"Yes","No"),IF(E211="BECM 3208",IF(J211='Routine &amp; Settings'!$B$6,"Yes","No"),IF(E211="CE 3224",IF(J211='Routine &amp; Settings'!$B$7,"Yes","No"),IF(E211="BECM 3200",IF('Routine &amp; Settings'!$B$8="Odd Weeks",IF(MOD(C211,2)=1,"Yes","No"),IF(MOD(C211,2)=0,"Yes","No")),"Yes")))))</x:f>
        <x:v>Yes</x:v>
      </x:c>
    </x:row>
    <x:row r="212">
      <x:c r="A212" s="123" t="n">
        <x:v>46343</x:v>
      </x:c>
      <x:c r="B212" s="23" t="str">
        <x:v>Tue</x:v>
      </x:c>
      <x:c r="C212" s="23" t="n">
        <x:v>10</x:v>
      </x:c>
      <x:c r="D212" s="23" t="str">
        <x:v>Regular</x:v>
      </x:c>
      <x:c r="E212" s="23" t="str">
        <x:v>CE 3213</x:v>
      </x:c>
      <x:c r="F212" s="173" t="str">
        <x:v>Reinforced Concrete Structures - II</x:v>
      </x:c>
      <x:c r="G212" s="23" t="str">
        <x:v>11:30 AM–12:20 PM</x:v>
      </x:c>
      <x:c r="H212" s="23" t="str">
        <x:v>MKI</x:v>
      </x:c>
      <x:c r="I212" s="23" t="str">
        <x:v>405</x:v>
      </x:c>
      <x:c r="J212" s="23" t="str">
        <x:v>TUES P5</x:v>
      </x:c>
      <x:c r="K212" s="131" t="str"/>
      <x:c r="L212" s="143" t="str"/>
      <x:c r="M212" s="143" t="str"/>
      <x:c r="N212" s="143" t="str"/>
      <x:c r="O212" s="173" t="str"/>
      <x:c r="P212" s="159" t="str">
        <x:f>IF(COUNTIF('Routine &amp; Settings'!$I$5:$I$30,A212)&gt;0,"No",IF(E212="BECM 3204",IF(J212='Routine &amp; Settings'!$B$5,"Yes","No"),IF(E212="BECM 3208",IF(J212='Routine &amp; Settings'!$B$6,"Yes","No"),IF(E212="CE 3224",IF(J212='Routine &amp; Settings'!$B$7,"Yes","No"),IF(E212="BECM 3200",IF('Routine &amp; Settings'!$B$8="Odd Weeks",IF(MOD(C212,2)=1,"Yes","No"),IF(MOD(C212,2)=0,"Yes","No")),"Yes")))))</x:f>
        <x:v>Yes</x:v>
      </x:c>
    </x:row>
    <x:row r="213">
      <x:c r="A213" s="123" t="n">
        <x:v>46343</x:v>
      </x:c>
      <x:c r="B213" s="23" t="str">
        <x:v>Tue</x:v>
      </x:c>
      <x:c r="C213" s="23" t="n">
        <x:v>10</x:v>
      </x:c>
      <x:c r="D213" s="23" t="str">
        <x:v>Regular</x:v>
      </x:c>
      <x:c r="E213" s="23" t="str">
        <x:v>BECM 3201</x:v>
      </x:c>
      <x:c r="F213" s="173" t="str">
        <x:v>Construction and Project Management - II</x:v>
      </x:c>
      <x:c r="G213" s="23" t="str">
        <x:v>12:20 PM–01:10 PM</x:v>
      </x:c>
      <x:c r="H213" s="23" t="str">
        <x:v>MRA</x:v>
      </x:c>
      <x:c r="I213" s="23" t="str">
        <x:v>405</x:v>
      </x:c>
      <x:c r="J213" s="23" t="str">
        <x:v>TUES P6</x:v>
      </x:c>
      <x:c r="K213" s="131" t="str"/>
      <x:c r="L213" s="143" t="str"/>
      <x:c r="M213" s="143" t="str"/>
      <x:c r="N213" s="143" t="str"/>
      <x:c r="O213" s="173" t="str"/>
      <x:c r="P213" s="159" t="str">
        <x:f>IF(COUNTIF('Routine &amp; Settings'!$I$5:$I$30,A213)&gt;0,"No",IF(E213="BECM 3204",IF(J213='Routine &amp; Settings'!$B$5,"Yes","No"),IF(E213="BECM 3208",IF(J213='Routine &amp; Settings'!$B$6,"Yes","No"),IF(E213="CE 3224",IF(J213='Routine &amp; Settings'!$B$7,"Yes","No"),IF(E213="BECM 3200",IF('Routine &amp; Settings'!$B$8="Odd Weeks",IF(MOD(C213,2)=1,"Yes","No"),IF(MOD(C213,2)=0,"Yes","No")),"Yes")))))</x:f>
        <x:v>Yes</x:v>
      </x:c>
    </x:row>
    <x:row r="214">
      <x:c r="A214" s="123" t="n">
        <x:v>46343</x:v>
      </x:c>
      <x:c r="B214" s="23" t="str">
        <x:v>Tue</x:v>
      </x:c>
      <x:c r="C214" s="23" t="n">
        <x:v>10</x:v>
      </x:c>
      <x:c r="D214" s="23" t="str">
        <x:v>Regular</x:v>
      </x:c>
      <x:c r="E214" s="23" t="str">
        <x:v>BECM 3208</x:v>
      </x:c>
      <x:c r="F214" s="173" t="str">
        <x:v>Landscape Design</x:v>
      </x:c>
      <x:c r="G214" s="23" t="str">
        <x:v>02:30 PM–05:00 PM</x:v>
      </x:c>
      <x:c r="H214" s="23" t="str">
        <x:v>MSH/MSA</x:v>
      </x:c>
      <x:c r="I214" s="23" t="str"/>
      <x:c r="J214" s="23" t="str">
        <x:v>Tue PM</x:v>
      </x:c>
      <x:c r="K214" s="131" t="str"/>
      <x:c r="L214" s="143" t="str"/>
      <x:c r="M214" s="143" t="str"/>
      <x:c r="N214" s="143" t="str"/>
      <x:c r="O214" s="173" t="str"/>
      <x:c r="P214" s="159" t="str">
        <x:f>IF(COUNTIF('Routine &amp; Settings'!$I$5:$I$30,A214)&gt;0,"No",IF(E214="BECM 3204",IF(J214='Routine &amp; Settings'!$B$5,"Yes","No"),IF(E214="BECM 3208",IF(J214='Routine &amp; Settings'!$B$6,"Yes","No"),IF(E214="CE 3224",IF(J214='Routine &amp; Settings'!$B$7,"Yes","No"),IF(E214="BECM 3200",IF('Routine &amp; Settings'!$B$8="Odd Weeks",IF(MOD(C214,2)=1,"Yes","No"),IF(MOD(C214,2)=0,"Yes","No")),"Yes")))))</x:f>
        <x:v>Yes</x:v>
      </x:c>
    </x:row>
    <x:row r="215">
      <x:c r="A215" s="123" t="n">
        <x:v>46344</x:v>
      </x:c>
      <x:c r="B215" s="23" t="str">
        <x:v>Wed</x:v>
      </x:c>
      <x:c r="C215" s="23" t="n">
        <x:v>10</x:v>
      </x:c>
      <x:c r="D215" s="23" t="str">
        <x:v>Regular</x:v>
      </x:c>
      <x:c r="E215" s="23" t="str">
        <x:v>CE 3213</x:v>
      </x:c>
      <x:c r="F215" s="173" t="str">
        <x:v>Reinforced Concrete Structures - II</x:v>
      </x:c>
      <x:c r="G215" s="23" t="str">
        <x:v>09:40 AM–10:30 AM</x:v>
      </x:c>
      <x:c r="H215" s="23" t="str">
        <x:v>HRS/MKI</x:v>
      </x:c>
      <x:c r="I215" s="23" t="str">
        <x:v>501</x:v>
      </x:c>
      <x:c r="J215" s="23" t="str">
        <x:v>WED P3</x:v>
      </x:c>
      <x:c r="K215" s="131" t="str"/>
      <x:c r="L215" s="143" t="str"/>
      <x:c r="M215" s="143" t="str"/>
      <x:c r="N215" s="143" t="str"/>
      <x:c r="O215" s="173" t="str"/>
      <x:c r="P215" s="159" t="str">
        <x:f>IF(COUNTIF('Routine &amp; Settings'!$I$5:$I$30,A215)&gt;0,"No",IF(E215="BECM 3204",IF(J215='Routine &amp; Settings'!$B$5,"Yes","No"),IF(E215="BECM 3208",IF(J215='Routine &amp; Settings'!$B$6,"Yes","No"),IF(E215="CE 3224",IF(J215='Routine &amp; Settings'!$B$7,"Yes","No"),IF(E215="BECM 3200",IF('Routine &amp; Settings'!$B$8="Odd Weeks",IF(MOD(C215,2)=1,"Yes","No"),IF(MOD(C215,2)=0,"Yes","No")),"Yes")))))</x:f>
        <x:v>Yes</x:v>
      </x:c>
    </x:row>
    <x:row r="216">
      <x:c r="A216" s="123" t="n">
        <x:v>46344</x:v>
      </x:c>
      <x:c r="B216" s="23" t="str">
        <x:v>Wed</x:v>
      </x:c>
      <x:c r="C216" s="23" t="n">
        <x:v>10</x:v>
      </x:c>
      <x:c r="D216" s="23" t="str">
        <x:v>Regular</x:v>
      </x:c>
      <x:c r="E216" s="23" t="str">
        <x:v>CE 3211</x:v>
      </x:c>
      <x:c r="F216" s="173" t="str">
        <x:v>Structural Analysis and Design - II</x:v>
      </x:c>
      <x:c r="G216" s="23" t="str">
        <x:v>10:40 AM–11:30 AM</x:v>
      </x:c>
      <x:c r="H216" s="23" t="str">
        <x:v>ATB</x:v>
      </x:c>
      <x:c r="I216" s="23" t="str">
        <x:v>501</x:v>
      </x:c>
      <x:c r="J216" s="23" t="str">
        <x:v>WED P4</x:v>
      </x:c>
      <x:c r="K216" s="131" t="str"/>
      <x:c r="L216" s="143" t="str"/>
      <x:c r="M216" s="143" t="str"/>
      <x:c r="N216" s="143" t="str"/>
      <x:c r="O216" s="173" t="str"/>
      <x:c r="P216" s="159" t="str">
        <x:f>IF(COUNTIF('Routine &amp; Settings'!$I$5:$I$30,A216)&gt;0,"No",IF(E216="BECM 3204",IF(J216='Routine &amp; Settings'!$B$5,"Yes","No"),IF(E216="BECM 3208",IF(J216='Routine &amp; Settings'!$B$6,"Yes","No"),IF(E216="CE 3224",IF(J216='Routine &amp; Settings'!$B$7,"Yes","No"),IF(E216="BECM 3200",IF('Routine &amp; Settings'!$B$8="Odd Weeks",IF(MOD(C216,2)=1,"Yes","No"),IF(MOD(C216,2)=0,"Yes","No")),"Yes")))))</x:f>
        <x:v>Yes</x:v>
      </x:c>
    </x:row>
    <x:row r="217">
      <x:c r="A217" s="123" t="n">
        <x:v>46344</x:v>
      </x:c>
      <x:c r="B217" s="23" t="str">
        <x:v>Wed</x:v>
      </x:c>
      <x:c r="C217" s="23" t="n">
        <x:v>10</x:v>
      </x:c>
      <x:c r="D217" s="23" t="str">
        <x:v>Regular</x:v>
      </x:c>
      <x:c r="E217" s="23" t="str">
        <x:v>CE 3223</x:v>
      </x:c>
      <x:c r="F217" s="173" t="str">
        <x:v>Soil Mechanics</x:v>
      </x:c>
      <x:c r="G217" s="23" t="str">
        <x:v>11:30 AM–12:20 PM</x:v>
      </x:c>
      <x:c r="H217" s="23" t="str">
        <x:v>MHI</x:v>
      </x:c>
      <x:c r="I217" s="23" t="str">
        <x:v>501</x:v>
      </x:c>
      <x:c r="J217" s="23" t="str">
        <x:v>WED P5</x:v>
      </x:c>
      <x:c r="K217" s="131" t="str"/>
      <x:c r="L217" s="143" t="str"/>
      <x:c r="M217" s="143" t="str"/>
      <x:c r="N217" s="143" t="str"/>
      <x:c r="O217" s="173" t="str"/>
      <x:c r="P217" s="159" t="str">
        <x:f>IF(COUNTIF('Routine &amp; Settings'!$I$5:$I$30,A217)&gt;0,"No",IF(E217="BECM 3204",IF(J217='Routine &amp; Settings'!$B$5,"Yes","No"),IF(E217="BECM 3208",IF(J217='Routine &amp; Settings'!$B$6,"Yes","No"),IF(E217="CE 3224",IF(J217='Routine &amp; Settings'!$B$7,"Yes","No"),IF(E217="BECM 3200",IF('Routine &amp; Settings'!$B$8="Odd Weeks",IF(MOD(C217,2)=1,"Yes","No"),IF(MOD(C217,2)=0,"Yes","No")),"Yes")))))</x:f>
        <x:v>Yes</x:v>
      </x:c>
    </x:row>
    <x:row r="218">
      <x:c r="A218" s="123" t="n">
        <x:v>46344</x:v>
      </x:c>
      <x:c r="B218" s="23" t="str">
        <x:v>Wed</x:v>
      </x:c>
      <x:c r="C218" s="23" t="n">
        <x:v>10</x:v>
      </x:c>
      <x:c r="D218" s="23" t="str">
        <x:v>Regular</x:v>
      </x:c>
      <x:c r="E218" s="23" t="str">
        <x:v>BECM 3205</x:v>
      </x:c>
      <x:c r="F218" s="173" t="str">
        <x:v>Acoustics and Lighting</x:v>
      </x:c>
      <x:c r="G218" s="23" t="str">
        <x:v>12:20 PM–01:10 PM</x:v>
      </x:c>
      <x:c r="H218" s="23" t="str">
        <x:v>MSH/AAM</x:v>
      </x:c>
      <x:c r="I218" s="23" t="str">
        <x:v>501</x:v>
      </x:c>
      <x:c r="J218" s="23" t="str">
        <x:v>WED P6</x:v>
      </x:c>
      <x:c r="K218" s="131" t="str"/>
      <x:c r="L218" s="143" t="str"/>
      <x:c r="M218" s="143" t="str"/>
      <x:c r="N218" s="143" t="str"/>
      <x:c r="O218" s="173" t="str"/>
      <x:c r="P218" s="159" t="str">
        <x:f>IF(COUNTIF('Routine &amp; Settings'!$I$5:$I$30,A218)&gt;0,"No",IF(E218="BECM 3204",IF(J218='Routine &amp; Settings'!$B$5,"Yes","No"),IF(E218="BECM 3208",IF(J218='Routine &amp; Settings'!$B$6,"Yes","No"),IF(E218="CE 3224",IF(J218='Routine &amp; Settings'!$B$7,"Yes","No"),IF(E218="BECM 3200",IF('Routine &amp; Settings'!$B$8="Odd Weeks",IF(MOD(C218,2)=1,"Yes","No"),IF(MOD(C218,2)=0,"Yes","No")),"Yes")))))</x:f>
        <x:v>Yes</x:v>
      </x:c>
    </x:row>
    <x:row r="219">
      <x:c r="A219" s="123" t="n">
        <x:v>46344</x:v>
      </x:c>
      <x:c r="B219" s="23" t="str">
        <x:v>Wed</x:v>
      </x:c>
      <x:c r="C219" s="23" t="n">
        <x:v>10</x:v>
      </x:c>
      <x:c r="D219" s="23" t="str">
        <x:v>Regular</x:v>
      </x:c>
      <x:c r="E219" s="23" t="str">
        <x:v>BECM 3208</x:v>
      </x:c>
      <x:c r="F219" s="173" t="str">
        <x:v>Landscape Design</x:v>
      </x:c>
      <x:c r="G219" s="23" t="str">
        <x:v>02:30 PM–05:00 PM</x:v>
      </x:c>
      <x:c r="H219" s="23" t="str">
        <x:v>MSH/MSA</x:v>
      </x:c>
      <x:c r="I219" s="23" t="str">
        <x:v>501</x:v>
      </x:c>
      <x:c r="J219" s="23" t="str">
        <x:v>Wed PM</x:v>
      </x:c>
      <x:c r="K219" s="131" t="str"/>
      <x:c r="L219" s="143" t="str"/>
      <x:c r="M219" s="143" t="str"/>
      <x:c r="N219" s="143" t="str"/>
      <x:c r="O219" s="173" t="str"/>
      <x:c r="P219" s="159" t="str">
        <x:f>IF(COUNTIF('Routine &amp; Settings'!$I$5:$I$30,A219)&gt;0,"No",IF(E219="BECM 3204",IF(J219='Routine &amp; Settings'!$B$5,"Yes","No"),IF(E219="BECM 3208",IF(J219='Routine &amp; Settings'!$B$6,"Yes","No"),IF(E219="CE 3224",IF(J219='Routine &amp; Settings'!$B$7,"Yes","No"),IF(E219="BECM 3200",IF('Routine &amp; Settings'!$B$8="Odd Weeks",IF(MOD(C219,2)=1,"Yes","No"),IF(MOD(C219,2)=0,"Yes","No")),"Yes")))))</x:f>
        <x:v>No</x:v>
      </x:c>
    </x:row>
    <x:row r="220">
      <x:c r="A220" s="123" t="n">
        <x:v>46345</x:v>
      </x:c>
      <x:c r="B220" s="23" t="str">
        <x:v>Thu</x:v>
      </x:c>
      <x:c r="C220" s="23" t="n">
        <x:v>10</x:v>
      </x:c>
      <x:c r="D220" s="23" t="str">
        <x:v>Regular</x:v>
      </x:c>
      <x:c r="E220" s="23" t="str">
        <x:v>BECM 3204</x:v>
      </x:c>
      <x:c r="F220" s="173" t="str">
        <x:v>Construction Techniques and Equipments - II</x:v>
      </x:c>
      <x:c r="G220" s="23" t="str">
        <x:v>08:00 AM–10:30 AM</x:v>
      </x:c>
      <x:c r="H220" s="23" t="str">
        <x:v>HRS/MR</x:v>
      </x:c>
      <x:c r="I220" s="23" t="str"/>
      <x:c r="J220" s="23" t="str">
        <x:v>Thu AM</x:v>
      </x:c>
      <x:c r="K220" s="131" t="str"/>
      <x:c r="L220" s="143" t="str"/>
      <x:c r="M220" s="143" t="str"/>
      <x:c r="N220" s="143" t="str"/>
      <x:c r="O220" s="173" t="str"/>
      <x:c r="P220" s="159" t="str">
        <x:f>IF(COUNTIF('Routine &amp; Settings'!$I$5:$I$30,A220)&gt;0,"No",IF(E220="BECM 3204",IF(J220='Routine &amp; Settings'!$B$5,"Yes","No"),IF(E220="BECM 3208",IF(J220='Routine &amp; Settings'!$B$6,"Yes","No"),IF(E220="CE 3224",IF(J220='Routine &amp; Settings'!$B$7,"Yes","No"),IF(E220="BECM 3200",IF('Routine &amp; Settings'!$B$8="Odd Weeks",IF(MOD(C220,2)=1,"Yes","No"),IF(MOD(C220,2)=0,"Yes","No")),"Yes")))))</x:f>
        <x:v>No</x:v>
      </x:c>
    </x:row>
    <x:row r="221">
      <x:c r="A221" s="123" t="n">
        <x:v>46345</x:v>
      </x:c>
      <x:c r="B221" s="23" t="str">
        <x:v>Thu</x:v>
      </x:c>
      <x:c r="C221" s="23" t="n">
        <x:v>10</x:v>
      </x:c>
      <x:c r="D221" s="23" t="str">
        <x:v>Regular</x:v>
      </x:c>
      <x:c r="E221" s="23" t="str">
        <x:v>BECM 3205</x:v>
      </x:c>
      <x:c r="F221" s="173" t="str">
        <x:v>Acoustics and Lighting</x:v>
      </x:c>
      <x:c r="G221" s="23" t="str">
        <x:v>10:40 AM–11:30 AM</x:v>
      </x:c>
      <x:c r="H221" s="23" t="str">
        <x:v>MSH</x:v>
      </x:c>
      <x:c r="I221" s="23" t="str">
        <x:v>406</x:v>
      </x:c>
      <x:c r="J221" s="23" t="str">
        <x:v>THURS P4</x:v>
      </x:c>
      <x:c r="K221" s="131" t="str"/>
      <x:c r="L221" s="143" t="str"/>
      <x:c r="M221" s="143" t="str"/>
      <x:c r="N221" s="143" t="str"/>
      <x:c r="O221" s="173" t="str"/>
      <x:c r="P221" s="159" t="str">
        <x:f>IF(COUNTIF('Routine &amp; Settings'!$I$5:$I$30,A221)&gt;0,"No",IF(E221="BECM 3204",IF(J221='Routine &amp; Settings'!$B$5,"Yes","No"),IF(E221="BECM 3208",IF(J221='Routine &amp; Settings'!$B$6,"Yes","No"),IF(E221="CE 3224",IF(J221='Routine &amp; Settings'!$B$7,"Yes","No"),IF(E221="BECM 3200",IF('Routine &amp; Settings'!$B$8="Odd Weeks",IF(MOD(C221,2)=1,"Yes","No"),IF(MOD(C221,2)=0,"Yes","No")),"Yes")))))</x:f>
        <x:v>Yes</x:v>
      </x:c>
    </x:row>
    <x:row r="222">
      <x:c r="A222" s="123" t="n">
        <x:v>46345</x:v>
      </x:c>
      <x:c r="B222" s="23" t="str">
        <x:v>Thu</x:v>
      </x:c>
      <x:c r="C222" s="23" t="n">
        <x:v>10</x:v>
      </x:c>
      <x:c r="D222" s="23" t="str">
        <x:v>Regular</x:v>
      </x:c>
      <x:c r="E222" s="23" t="str">
        <x:v>CE 3211</x:v>
      </x:c>
      <x:c r="F222" s="173" t="str">
        <x:v>Structural Analysis and Design - II</x:v>
      </x:c>
      <x:c r="G222" s="23" t="str">
        <x:v>11:30 AM–12:20 PM</x:v>
      </x:c>
      <x:c r="H222" s="23" t="str">
        <x:v>MKI/ATB</x:v>
      </x:c>
      <x:c r="I222" s="23" t="str">
        <x:v>406</x:v>
      </x:c>
      <x:c r="J222" s="23" t="str">
        <x:v>THURS P5</x:v>
      </x:c>
      <x:c r="K222" s="131" t="str"/>
      <x:c r="L222" s="143" t="str"/>
      <x:c r="M222" s="143" t="str"/>
      <x:c r="N222" s="143" t="str"/>
      <x:c r="O222" s="173" t="str"/>
      <x:c r="P222" s="159" t="str">
        <x:f>IF(COUNTIF('Routine &amp; Settings'!$I$5:$I$30,A222)&gt;0,"No",IF(E222="BECM 3204",IF(J222='Routine &amp; Settings'!$B$5,"Yes","No"),IF(E222="BECM 3208",IF(J222='Routine &amp; Settings'!$B$6,"Yes","No"),IF(E222="CE 3224",IF(J222='Routine &amp; Settings'!$B$7,"Yes","No"),IF(E222="BECM 3200",IF('Routine &amp; Settings'!$B$8="Odd Weeks",IF(MOD(C222,2)=1,"Yes","No"),IF(MOD(C222,2)=0,"Yes","No")),"Yes")))))</x:f>
        <x:v>Yes</x:v>
      </x:c>
    </x:row>
    <x:row r="223">
      <x:c r="A223" s="123" t="n">
        <x:v>46345</x:v>
      </x:c>
      <x:c r="B223" s="23" t="str">
        <x:v>Thu</x:v>
      </x:c>
      <x:c r="C223" s="23" t="n">
        <x:v>10</x:v>
      </x:c>
      <x:c r="D223" s="23" t="str">
        <x:v>Regular</x:v>
      </x:c>
      <x:c r="E223" s="23" t="str">
        <x:v>BECM 3201</x:v>
      </x:c>
      <x:c r="F223" s="173" t="str">
        <x:v>Construction and Project Management - II</x:v>
      </x:c>
      <x:c r="G223" s="23" t="str">
        <x:v>12:20 PM–01:10 PM</x:v>
      </x:c>
      <x:c r="H223" s="23" t="str">
        <x:v>MR/MRA</x:v>
      </x:c>
      <x:c r="I223" s="23" t="str">
        <x:v>406</x:v>
      </x:c>
      <x:c r="J223" s="23" t="str">
        <x:v>THURS P6</x:v>
      </x:c>
      <x:c r="K223" s="131" t="str"/>
      <x:c r="L223" s="143" t="str"/>
      <x:c r="M223" s="143" t="str"/>
      <x:c r="N223" s="143" t="str"/>
      <x:c r="O223" s="173" t="str"/>
      <x:c r="P223" s="159" t="str">
        <x:f>IF(COUNTIF('Routine &amp; Settings'!$I$5:$I$30,A223)&gt;0,"No",IF(E223="BECM 3204",IF(J223='Routine &amp; Settings'!$B$5,"Yes","No"),IF(E223="BECM 3208",IF(J223='Routine &amp; Settings'!$B$6,"Yes","No"),IF(E223="CE 3224",IF(J223='Routine &amp; Settings'!$B$7,"Yes","No"),IF(E223="BECM 3200",IF('Routine &amp; Settings'!$B$8="Odd Weeks",IF(MOD(C223,2)=1,"Yes","No"),IF(MOD(C223,2)=0,"Yes","No")),"Yes")))))</x:f>
        <x:v>Yes</x:v>
      </x:c>
    </x:row>
    <x:row r="224">
      <x:c r="A224" s="123" t="n">
        <x:v>46345</x:v>
      </x:c>
      <x:c r="B224" s="23" t="str">
        <x:v>Thu</x:v>
      </x:c>
      <x:c r="C224" s="23" t="n">
        <x:v>10</x:v>
      </x:c>
      <x:c r="D224" s="23" t="str">
        <x:v>Regular</x:v>
      </x:c>
      <x:c r="E224" s="23" t="str">
        <x:v>CE 3224</x:v>
      </x:c>
      <x:c r="F224" s="173" t="str">
        <x:v>Sessional on Soil Mechanics</x:v>
      </x:c>
      <x:c r="G224" s="23" t="str">
        <x:v>02:30 PM–05:00 PM</x:v>
      </x:c>
      <x:c r="H224" s="23" t="str">
        <x:v>MHI/MRA</x:v>
      </x:c>
      <x:c r="I224" s="23" t="str">
        <x:v>405</x:v>
      </x:c>
      <x:c r="J224" s="23" t="str">
        <x:v>Thu PM</x:v>
      </x:c>
      <x:c r="K224" s="131" t="str"/>
      <x:c r="L224" s="143" t="str"/>
      <x:c r="M224" s="143" t="str"/>
      <x:c r="N224" s="143" t="str"/>
      <x:c r="O224" s="173" t="str"/>
      <x:c r="P224" s="159" t="str">
        <x:f>IF(COUNTIF('Routine &amp; Settings'!$I$5:$I$30,A224)&gt;0,"No",IF(E224="BECM 3204",IF(J224='Routine &amp; Settings'!$B$5,"Yes","No"),IF(E224="BECM 3208",IF(J224='Routine &amp; Settings'!$B$6,"Yes","No"),IF(E224="CE 3224",IF(J224='Routine &amp; Settings'!$B$7,"Yes","No"),IF(E224="BECM 3200",IF('Routine &amp; Settings'!$B$8="Odd Weeks",IF(MOD(C224,2)=1,"Yes","No"),IF(MOD(C224,2)=0,"Yes","No")),"Yes")))))</x:f>
        <x:v>No</x:v>
      </x:c>
    </x:row>
    <x:row r="225">
      <x:c r="A225" s="123" t="n">
        <x:v>46348</x:v>
      </x:c>
      <x:c r="B225" s="23" t="str">
        <x:v>Sun</x:v>
      </x:c>
      <x:c r="C225" s="23" t="n">
        <x:v>11</x:v>
      </x:c>
      <x:c r="D225" s="23" t="str">
        <x:v>Regular</x:v>
      </x:c>
      <x:c r="E225" s="23" t="str">
        <x:v>CE 3213</x:v>
      </x:c>
      <x:c r="F225" s="173" t="str">
        <x:v>Reinforced Concrete Structures - II</x:v>
      </x:c>
      <x:c r="G225" s="23" t="str">
        <x:v>10:40 AM–11:30 AM</x:v>
      </x:c>
      <x:c r="H225" s="23" t="str">
        <x:v>HRS</x:v>
      </x:c>
      <x:c r="I225" s="23" t="str">
        <x:v>501</x:v>
      </x:c>
      <x:c r="J225" s="23" t="str">
        <x:v>SUN P4</x:v>
      </x:c>
      <x:c r="K225" s="131" t="str"/>
      <x:c r="L225" s="143" t="str"/>
      <x:c r="M225" s="143" t="str"/>
      <x:c r="N225" s="143" t="str"/>
      <x:c r="O225" s="173" t="str"/>
      <x:c r="P225" s="159" t="str">
        <x:f>IF(COUNTIF('Routine &amp; Settings'!$I$5:$I$30,A225)&gt;0,"No",IF(E225="BECM 3204",IF(J225='Routine &amp; Settings'!$B$5,"Yes","No"),IF(E225="BECM 3208",IF(J225='Routine &amp; Settings'!$B$6,"Yes","No"),IF(E225="CE 3224",IF(J225='Routine &amp; Settings'!$B$7,"Yes","No"),IF(E225="BECM 3200",IF('Routine &amp; Settings'!$B$8="Odd Weeks",IF(MOD(C225,2)=1,"Yes","No"),IF(MOD(C225,2)=0,"Yes","No")),"Yes")))))</x:f>
        <x:v>Yes</x:v>
      </x:c>
    </x:row>
    <x:row r="226">
      <x:c r="A226" s="123" t="n">
        <x:v>46348</x:v>
      </x:c>
      <x:c r="B226" s="23" t="str">
        <x:v>Sun</x:v>
      </x:c>
      <x:c r="C226" s="23" t="n">
        <x:v>11</x:v>
      </x:c>
      <x:c r="D226" s="23" t="str">
        <x:v>Regular</x:v>
      </x:c>
      <x:c r="E226" s="23" t="str">
        <x:v>CE 3223</x:v>
      </x:c>
      <x:c r="F226" s="173" t="str">
        <x:v>Soil Mechanics</x:v>
      </x:c>
      <x:c r="G226" s="23" t="str">
        <x:v>11:30 AM–12:20 PM</x:v>
      </x:c>
      <x:c r="H226" s="23" t="str">
        <x:v>MSA</x:v>
      </x:c>
      <x:c r="I226" s="23" t="str">
        <x:v>501</x:v>
      </x:c>
      <x:c r="J226" s="23" t="str">
        <x:v>SUN P5</x:v>
      </x:c>
      <x:c r="K226" s="131" t="str"/>
      <x:c r="L226" s="143" t="str"/>
      <x:c r="M226" s="143" t="str"/>
      <x:c r="N226" s="143" t="str"/>
      <x:c r="O226" s="173" t="str"/>
      <x:c r="P226" s="159" t="str">
        <x:f>IF(COUNTIF('Routine &amp; Settings'!$I$5:$I$30,A226)&gt;0,"No",IF(E226="BECM 3204",IF(J226='Routine &amp; Settings'!$B$5,"Yes","No"),IF(E226="BECM 3208",IF(J226='Routine &amp; Settings'!$B$6,"Yes","No"),IF(E226="CE 3224",IF(J226='Routine &amp; Settings'!$B$7,"Yes","No"),IF(E226="BECM 3200",IF('Routine &amp; Settings'!$B$8="Odd Weeks",IF(MOD(C226,2)=1,"Yes","No"),IF(MOD(C226,2)=0,"Yes","No")),"Yes")))))</x:f>
        <x:v>Yes</x:v>
      </x:c>
    </x:row>
    <x:row r="227">
      <x:c r="A227" s="123" t="n">
        <x:v>46348</x:v>
      </x:c>
      <x:c r="B227" s="23" t="str">
        <x:v>Sun</x:v>
      </x:c>
      <x:c r="C227" s="23" t="n">
        <x:v>11</x:v>
      </x:c>
      <x:c r="D227" s="23" t="str">
        <x:v>Regular</x:v>
      </x:c>
      <x:c r="E227" s="23" t="str">
        <x:v>CE 3211</x:v>
      </x:c>
      <x:c r="F227" s="173" t="str">
        <x:v>Structural Analysis and Design - II</x:v>
      </x:c>
      <x:c r="G227" s="23" t="str">
        <x:v>12:20 PM–01:10 PM</x:v>
      </x:c>
      <x:c r="H227" s="23" t="str">
        <x:v>MKI</x:v>
      </x:c>
      <x:c r="I227" s="23" t="str">
        <x:v>501</x:v>
      </x:c>
      <x:c r="J227" s="23" t="str">
        <x:v>SUN P6</x:v>
      </x:c>
      <x:c r="K227" s="131" t="str"/>
      <x:c r="L227" s="143" t="str"/>
      <x:c r="M227" s="143" t="str"/>
      <x:c r="N227" s="143" t="str"/>
      <x:c r="O227" s="173" t="str"/>
      <x:c r="P227" s="159" t="str">
        <x:f>IF(COUNTIF('Routine &amp; Settings'!$I$5:$I$30,A227)&gt;0,"No",IF(E227="BECM 3204",IF(J227='Routine &amp; Settings'!$B$5,"Yes","No"),IF(E227="BECM 3208",IF(J227='Routine &amp; Settings'!$B$6,"Yes","No"),IF(E227="CE 3224",IF(J227='Routine &amp; Settings'!$B$7,"Yes","No"),IF(E227="BECM 3200",IF('Routine &amp; Settings'!$B$8="Odd Weeks",IF(MOD(C227,2)=1,"Yes","No"),IF(MOD(C227,2)=0,"Yes","No")),"Yes")))))</x:f>
        <x:v>Yes</x:v>
      </x:c>
    </x:row>
    <x:row r="228">
      <x:c r="A228" s="123" t="n">
        <x:v>46348</x:v>
      </x:c>
      <x:c r="B228" s="23" t="str">
        <x:v>Sun</x:v>
      </x:c>
      <x:c r="C228" s="23" t="n">
        <x:v>11</x:v>
      </x:c>
      <x:c r="D228" s="23" t="str">
        <x:v>Regular</x:v>
      </x:c>
      <x:c r="E228" s="23" t="str">
        <x:v>BECM 3204</x:v>
      </x:c>
      <x:c r="F228" s="173" t="str">
        <x:v>Construction Techniques and Equipments - II</x:v>
      </x:c>
      <x:c r="G228" s="23" t="str">
        <x:v>02:30 PM–05:00 PM</x:v>
      </x:c>
      <x:c r="H228" s="23" t="str">
        <x:v>HRS/MR</x:v>
      </x:c>
      <x:c r="I228" s="23" t="str">
        <x:v>404</x:v>
      </x:c>
      <x:c r="J228" s="23" t="str">
        <x:v>Sun PM</x:v>
      </x:c>
      <x:c r="K228" s="131" t="str"/>
      <x:c r="L228" s="143" t="str"/>
      <x:c r="M228" s="143" t="str"/>
      <x:c r="N228" s="143" t="str"/>
      <x:c r="O228" s="173" t="str"/>
      <x:c r="P228" s="159" t="str">
        <x:f>IF(COUNTIF('Routine &amp; Settings'!$I$5:$I$30,A228)&gt;0,"No",IF(E228="BECM 3204",IF(J228='Routine &amp; Settings'!$B$5,"Yes","No"),IF(E228="BECM 3208",IF(J228='Routine &amp; Settings'!$B$6,"Yes","No"),IF(E228="CE 3224",IF(J228='Routine &amp; Settings'!$B$7,"Yes","No"),IF(E228="BECM 3200",IF('Routine &amp; Settings'!$B$8="Odd Weeks",IF(MOD(C228,2)=1,"Yes","No"),IF(MOD(C228,2)=0,"Yes","No")),"Yes")))))</x:f>
        <x:v>Yes</x:v>
      </x:c>
    </x:row>
    <x:row r="229">
      <x:c r="A229" s="123" t="n">
        <x:v>46349</x:v>
      </x:c>
      <x:c r="B229" s="23" t="str">
        <x:v>Mon</x:v>
      </x:c>
      <x:c r="C229" s="23" t="n">
        <x:v>11</x:v>
      </x:c>
      <x:c r="D229" s="23" t="str">
        <x:v>Regular</x:v>
      </x:c>
      <x:c r="E229" s="23" t="str">
        <x:v>CE 3223</x:v>
      </x:c>
      <x:c r="F229" s="173" t="str">
        <x:v>Soil Mechanics</x:v>
      </x:c>
      <x:c r="G229" s="23" t="str">
        <x:v>09:40 AM–10:30 AM</x:v>
      </x:c>
      <x:c r="H229" s="23" t="str">
        <x:v>MHI/MSA</x:v>
      </x:c>
      <x:c r="I229" s="23" t="str">
        <x:v>404</x:v>
      </x:c>
      <x:c r="J229" s="23" t="str">
        <x:v>MON P3</x:v>
      </x:c>
      <x:c r="K229" s="131" t="str"/>
      <x:c r="L229" s="143" t="str"/>
      <x:c r="M229" s="143" t="str"/>
      <x:c r="N229" s="143" t="str"/>
      <x:c r="O229" s="173" t="str"/>
      <x:c r="P229" s="159" t="str">
        <x:f>IF(COUNTIF('Routine &amp; Settings'!$I$5:$I$30,A229)&gt;0,"No",IF(E229="BECM 3204",IF(J229='Routine &amp; Settings'!$B$5,"Yes","No"),IF(E229="BECM 3208",IF(J229='Routine &amp; Settings'!$B$6,"Yes","No"),IF(E229="CE 3224",IF(J229='Routine &amp; Settings'!$B$7,"Yes","No"),IF(E229="BECM 3200",IF('Routine &amp; Settings'!$B$8="Odd Weeks",IF(MOD(C229,2)=1,"Yes","No"),IF(MOD(C229,2)=0,"Yes","No")),"Yes")))))</x:f>
        <x:v>Yes</x:v>
      </x:c>
    </x:row>
    <x:row r="230">
      <x:c r="A230" s="123" t="n">
        <x:v>46349</x:v>
      </x:c>
      <x:c r="B230" s="23" t="str">
        <x:v>Mon</x:v>
      </x:c>
      <x:c r="C230" s="23" t="n">
        <x:v>11</x:v>
      </x:c>
      <x:c r="D230" s="23" t="str">
        <x:v>Regular</x:v>
      </x:c>
      <x:c r="E230" s="23" t="str">
        <x:v>BECM 3201</x:v>
      </x:c>
      <x:c r="F230" s="173" t="str">
        <x:v>Construction and Project Management - II</x:v>
      </x:c>
      <x:c r="G230" s="23" t="str">
        <x:v>11:30 AM–12:20 PM</x:v>
      </x:c>
      <x:c r="H230" s="23" t="str">
        <x:v>MR</x:v>
      </x:c>
      <x:c r="I230" s="23" t="str">
        <x:v>405</x:v>
      </x:c>
      <x:c r="J230" s="23" t="str">
        <x:v>MON P5</x:v>
      </x:c>
      <x:c r="K230" s="131" t="str"/>
      <x:c r="L230" s="143" t="str"/>
      <x:c r="M230" s="143" t="str"/>
      <x:c r="N230" s="143" t="str"/>
      <x:c r="O230" s="173" t="str"/>
      <x:c r="P230" s="159" t="str">
        <x:f>IF(COUNTIF('Routine &amp; Settings'!$I$5:$I$30,A230)&gt;0,"No",IF(E230="BECM 3204",IF(J230='Routine &amp; Settings'!$B$5,"Yes","No"),IF(E230="BECM 3208",IF(J230='Routine &amp; Settings'!$B$6,"Yes","No"),IF(E230="CE 3224",IF(J230='Routine &amp; Settings'!$B$7,"Yes","No"),IF(E230="BECM 3200",IF('Routine &amp; Settings'!$B$8="Odd Weeks",IF(MOD(C230,2)=1,"Yes","No"),IF(MOD(C230,2)=0,"Yes","No")),"Yes")))))</x:f>
        <x:v>Yes</x:v>
      </x:c>
    </x:row>
    <x:row r="231">
      <x:c r="A231" s="123" t="n">
        <x:v>46349</x:v>
      </x:c>
      <x:c r="B231" s="23" t="str">
        <x:v>Mon</x:v>
      </x:c>
      <x:c r="C231" s="23" t="n">
        <x:v>11</x:v>
      </x:c>
      <x:c r="D231" s="23" t="str">
        <x:v>Regular</x:v>
      </x:c>
      <x:c r="E231" s="23" t="str">
        <x:v>BECM 3205</x:v>
      </x:c>
      <x:c r="F231" s="173" t="str">
        <x:v>Acoustics and Lighting</x:v>
      </x:c>
      <x:c r="G231" s="23" t="str">
        <x:v>12:20 PM–01:10 PM</x:v>
      </x:c>
      <x:c r="H231" s="23" t="str">
        <x:v>AAM</x:v>
      </x:c>
      <x:c r="I231" s="23" t="str">
        <x:v>405</x:v>
      </x:c>
      <x:c r="J231" s="23" t="str">
        <x:v>MON P6</x:v>
      </x:c>
      <x:c r="K231" s="131" t="str"/>
      <x:c r="L231" s="143" t="str"/>
      <x:c r="M231" s="143" t="str"/>
      <x:c r="N231" s="143" t="str"/>
      <x:c r="O231" s="173" t="str"/>
      <x:c r="P231" s="159" t="str">
        <x:f>IF(COUNTIF('Routine &amp; Settings'!$I$5:$I$30,A231)&gt;0,"No",IF(E231="BECM 3204",IF(J231='Routine &amp; Settings'!$B$5,"Yes","No"),IF(E231="BECM 3208",IF(J231='Routine &amp; Settings'!$B$6,"Yes","No"),IF(E231="CE 3224",IF(J231='Routine &amp; Settings'!$B$7,"Yes","No"),IF(E231="BECM 3200",IF('Routine &amp; Settings'!$B$8="Odd Weeks",IF(MOD(C231,2)=1,"Yes","No"),IF(MOD(C231,2)=0,"Yes","No")),"Yes")))))</x:f>
        <x:v>Yes</x:v>
      </x:c>
    </x:row>
    <x:row r="232">
      <x:c r="A232" s="123" t="n">
        <x:v>46349</x:v>
      </x:c>
      <x:c r="B232" s="23" t="str">
        <x:v>Mon</x:v>
      </x:c>
      <x:c r="C232" s="23" t="n">
        <x:v>11</x:v>
      </x:c>
      <x:c r="D232" s="23" t="str">
        <x:v>Regular</x:v>
      </x:c>
      <x:c r="E232" s="23" t="str">
        <x:v>BECM 3200</x:v>
      </x:c>
      <x:c r="F232" s="173" t="str">
        <x:v>Project and Seminar</x:v>
      </x:c>
      <x:c r="G232" s="23" t="str">
        <x:v>02:30 PM–05:00 PM</x:v>
      </x:c>
      <x:c r="H232" s="23" t="str">
        <x:v>ALL</x:v>
      </x:c>
      <x:c r="I232" s="23" t="str"/>
      <x:c r="J232" s="23" t="str">
        <x:v>Mon PM</x:v>
      </x:c>
      <x:c r="K232" s="131" t="str"/>
      <x:c r="L232" s="143" t="str"/>
      <x:c r="M232" s="143" t="str"/>
      <x:c r="N232" s="143" t="str"/>
      <x:c r="O232" s="173" t="str"/>
      <x:c r="P232" s="159" t="str">
        <x:f>IF(COUNTIF('Routine &amp; Settings'!$I$5:$I$30,A232)&gt;0,"No",IF(E232="BECM 3204",IF(J232='Routine &amp; Settings'!$B$5,"Yes","No"),IF(E232="BECM 3208",IF(J232='Routine &amp; Settings'!$B$6,"Yes","No"),IF(E232="CE 3224",IF(J232='Routine &amp; Settings'!$B$7,"Yes","No"),IF(E232="BECM 3200",IF('Routine &amp; Settings'!$B$8="Odd Weeks",IF(MOD(C232,2)=1,"Yes","No"),IF(MOD(C232,2)=0,"Yes","No")),"Yes")))))</x:f>
        <x:v>Yes</x:v>
      </x:c>
    </x:row>
    <x:row r="233">
      <x:c r="A233" s="123" t="n">
        <x:v>46350</x:v>
      </x:c>
      <x:c r="B233" s="23" t="str">
        <x:v>Tue</x:v>
      </x:c>
      <x:c r="C233" s="23" t="n">
        <x:v>11</x:v>
      </x:c>
      <x:c r="D233" s="23" t="str">
        <x:v>Regular</x:v>
      </x:c>
      <x:c r="E233" s="23" t="str">
        <x:v>CE 3224</x:v>
      </x:c>
      <x:c r="F233" s="173" t="str">
        <x:v>Sessional on Soil Mechanics</x:v>
      </x:c>
      <x:c r="G233" s="23" t="str">
        <x:v>08:00 AM–10:30 AM</x:v>
      </x:c>
      <x:c r="H233" s="23" t="str">
        <x:v>MHI/MRA</x:v>
      </x:c>
      <x:c r="I233" s="23" t="str"/>
      <x:c r="J233" s="23" t="str">
        <x:v>Tue AM</x:v>
      </x:c>
      <x:c r="K233" s="131" t="str"/>
      <x:c r="L233" s="143" t="str"/>
      <x:c r="M233" s="143" t="str"/>
      <x:c r="N233" s="143" t="str"/>
      <x:c r="O233" s="173" t="str"/>
      <x:c r="P233" s="159" t="str">
        <x:f>IF(COUNTIF('Routine &amp; Settings'!$I$5:$I$30,A233)&gt;0,"No",IF(E233="BECM 3204",IF(J233='Routine &amp; Settings'!$B$5,"Yes","No"),IF(E233="BECM 3208",IF(J233='Routine &amp; Settings'!$B$6,"Yes","No"),IF(E233="CE 3224",IF(J233='Routine &amp; Settings'!$B$7,"Yes","No"),IF(E233="BECM 3200",IF('Routine &amp; Settings'!$B$8="Odd Weeks",IF(MOD(C233,2)=1,"Yes","No"),IF(MOD(C233,2)=0,"Yes","No")),"Yes")))))</x:f>
        <x:v>Yes</x:v>
      </x:c>
    </x:row>
    <x:row r="234">
      <x:c r="A234" s="123" t="n">
        <x:v>46350</x:v>
      </x:c>
      <x:c r="B234" s="23" t="str">
        <x:v>Tue</x:v>
      </x:c>
      <x:c r="C234" s="23" t="n">
        <x:v>11</x:v>
      </x:c>
      <x:c r="D234" s="23" t="str">
        <x:v>Regular</x:v>
      </x:c>
      <x:c r="E234" s="23" t="str">
        <x:v>CE 3213</x:v>
      </x:c>
      <x:c r="F234" s="173" t="str">
        <x:v>Reinforced Concrete Structures - II</x:v>
      </x:c>
      <x:c r="G234" s="23" t="str">
        <x:v>11:30 AM–12:20 PM</x:v>
      </x:c>
      <x:c r="H234" s="23" t="str">
        <x:v>MKI</x:v>
      </x:c>
      <x:c r="I234" s="23" t="str">
        <x:v>405</x:v>
      </x:c>
      <x:c r="J234" s="23" t="str">
        <x:v>TUES P5</x:v>
      </x:c>
      <x:c r="K234" s="131" t="str"/>
      <x:c r="L234" s="143" t="str"/>
      <x:c r="M234" s="143" t="str"/>
      <x:c r="N234" s="143" t="str"/>
      <x:c r="O234" s="173" t="str"/>
      <x:c r="P234" s="159" t="str">
        <x:f>IF(COUNTIF('Routine &amp; Settings'!$I$5:$I$30,A234)&gt;0,"No",IF(E234="BECM 3204",IF(J234='Routine &amp; Settings'!$B$5,"Yes","No"),IF(E234="BECM 3208",IF(J234='Routine &amp; Settings'!$B$6,"Yes","No"),IF(E234="CE 3224",IF(J234='Routine &amp; Settings'!$B$7,"Yes","No"),IF(E234="BECM 3200",IF('Routine &amp; Settings'!$B$8="Odd Weeks",IF(MOD(C234,2)=1,"Yes","No"),IF(MOD(C234,2)=0,"Yes","No")),"Yes")))))</x:f>
        <x:v>Yes</x:v>
      </x:c>
    </x:row>
    <x:row r="235">
      <x:c r="A235" s="123" t="n">
        <x:v>46350</x:v>
      </x:c>
      <x:c r="B235" s="23" t="str">
        <x:v>Tue</x:v>
      </x:c>
      <x:c r="C235" s="23" t="n">
        <x:v>11</x:v>
      </x:c>
      <x:c r="D235" s="23" t="str">
        <x:v>Regular</x:v>
      </x:c>
      <x:c r="E235" s="23" t="str">
        <x:v>BECM 3201</x:v>
      </x:c>
      <x:c r="F235" s="173" t="str">
        <x:v>Construction and Project Management - II</x:v>
      </x:c>
      <x:c r="G235" s="23" t="str">
        <x:v>12:20 PM–01:10 PM</x:v>
      </x:c>
      <x:c r="H235" s="23" t="str">
        <x:v>MRA</x:v>
      </x:c>
      <x:c r="I235" s="23" t="str">
        <x:v>405</x:v>
      </x:c>
      <x:c r="J235" s="23" t="str">
        <x:v>TUES P6</x:v>
      </x:c>
      <x:c r="K235" s="131" t="str"/>
      <x:c r="L235" s="143" t="str"/>
      <x:c r="M235" s="143" t="str"/>
      <x:c r="N235" s="143" t="str"/>
      <x:c r="O235" s="173" t="str"/>
      <x:c r="P235" s="159" t="str">
        <x:f>IF(COUNTIF('Routine &amp; Settings'!$I$5:$I$30,A235)&gt;0,"No",IF(E235="BECM 3204",IF(J235='Routine &amp; Settings'!$B$5,"Yes","No"),IF(E235="BECM 3208",IF(J235='Routine &amp; Settings'!$B$6,"Yes","No"),IF(E235="CE 3224",IF(J235='Routine &amp; Settings'!$B$7,"Yes","No"),IF(E235="BECM 3200",IF('Routine &amp; Settings'!$B$8="Odd Weeks",IF(MOD(C235,2)=1,"Yes","No"),IF(MOD(C235,2)=0,"Yes","No")),"Yes")))))</x:f>
        <x:v>Yes</x:v>
      </x:c>
    </x:row>
    <x:row r="236">
      <x:c r="A236" s="123" t="n">
        <x:v>46350</x:v>
      </x:c>
      <x:c r="B236" s="23" t="str">
        <x:v>Tue</x:v>
      </x:c>
      <x:c r="C236" s="23" t="n">
        <x:v>11</x:v>
      </x:c>
      <x:c r="D236" s="23" t="str">
        <x:v>Regular</x:v>
      </x:c>
      <x:c r="E236" s="23" t="str">
        <x:v>BECM 3208</x:v>
      </x:c>
      <x:c r="F236" s="173" t="str">
        <x:v>Landscape Design</x:v>
      </x:c>
      <x:c r="G236" s="23" t="str">
        <x:v>02:30 PM–05:00 PM</x:v>
      </x:c>
      <x:c r="H236" s="23" t="str">
        <x:v>MSH/MSA</x:v>
      </x:c>
      <x:c r="I236" s="23" t="str"/>
      <x:c r="J236" s="23" t="str">
        <x:v>Tue PM</x:v>
      </x:c>
      <x:c r="K236" s="131" t="str"/>
      <x:c r="L236" s="143" t="str"/>
      <x:c r="M236" s="143" t="str"/>
      <x:c r="N236" s="143" t="str"/>
      <x:c r="O236" s="173" t="str"/>
      <x:c r="P236" s="159" t="str">
        <x:f>IF(COUNTIF('Routine &amp; Settings'!$I$5:$I$30,A236)&gt;0,"No",IF(E236="BECM 3204",IF(J236='Routine &amp; Settings'!$B$5,"Yes","No"),IF(E236="BECM 3208",IF(J236='Routine &amp; Settings'!$B$6,"Yes","No"),IF(E236="CE 3224",IF(J236='Routine &amp; Settings'!$B$7,"Yes","No"),IF(E236="BECM 3200",IF('Routine &amp; Settings'!$B$8="Odd Weeks",IF(MOD(C236,2)=1,"Yes","No"),IF(MOD(C236,2)=0,"Yes","No")),"Yes")))))</x:f>
        <x:v>Yes</x:v>
      </x:c>
    </x:row>
    <x:row r="237">
      <x:c r="A237" s="123" t="n">
        <x:v>46351</x:v>
      </x:c>
      <x:c r="B237" s="23" t="str">
        <x:v>Wed</x:v>
      </x:c>
      <x:c r="C237" s="23" t="n">
        <x:v>11</x:v>
      </x:c>
      <x:c r="D237" s="23" t="str">
        <x:v>Regular</x:v>
      </x:c>
      <x:c r="E237" s="23" t="str">
        <x:v>CE 3213</x:v>
      </x:c>
      <x:c r="F237" s="173" t="str">
        <x:v>Reinforced Concrete Structures - II</x:v>
      </x:c>
      <x:c r="G237" s="23" t="str">
        <x:v>09:40 AM–10:30 AM</x:v>
      </x:c>
      <x:c r="H237" s="23" t="str">
        <x:v>HRS/MKI</x:v>
      </x:c>
      <x:c r="I237" s="23" t="str">
        <x:v>501</x:v>
      </x:c>
      <x:c r="J237" s="23" t="str">
        <x:v>WED P3</x:v>
      </x:c>
      <x:c r="K237" s="131" t="str"/>
      <x:c r="L237" s="143" t="str"/>
      <x:c r="M237" s="143" t="str"/>
      <x:c r="N237" s="143" t="str"/>
      <x:c r="O237" s="173" t="str"/>
      <x:c r="P237" s="159" t="str">
        <x:f>IF(COUNTIF('Routine &amp; Settings'!$I$5:$I$30,A237)&gt;0,"No",IF(E237="BECM 3204",IF(J237='Routine &amp; Settings'!$B$5,"Yes","No"),IF(E237="BECM 3208",IF(J237='Routine &amp; Settings'!$B$6,"Yes","No"),IF(E237="CE 3224",IF(J237='Routine &amp; Settings'!$B$7,"Yes","No"),IF(E237="BECM 3200",IF('Routine &amp; Settings'!$B$8="Odd Weeks",IF(MOD(C237,2)=1,"Yes","No"),IF(MOD(C237,2)=0,"Yes","No")),"Yes")))))</x:f>
        <x:v>Yes</x:v>
      </x:c>
    </x:row>
    <x:row r="238">
      <x:c r="A238" s="123" t="n">
        <x:v>46351</x:v>
      </x:c>
      <x:c r="B238" s="23" t="str">
        <x:v>Wed</x:v>
      </x:c>
      <x:c r="C238" s="23" t="n">
        <x:v>11</x:v>
      </x:c>
      <x:c r="D238" s="23" t="str">
        <x:v>Regular</x:v>
      </x:c>
      <x:c r="E238" s="23" t="str">
        <x:v>CE 3211</x:v>
      </x:c>
      <x:c r="F238" s="173" t="str">
        <x:v>Structural Analysis and Design - II</x:v>
      </x:c>
      <x:c r="G238" s="23" t="str">
        <x:v>10:40 AM–11:30 AM</x:v>
      </x:c>
      <x:c r="H238" s="23" t="str">
        <x:v>ATB</x:v>
      </x:c>
      <x:c r="I238" s="23" t="str">
        <x:v>501</x:v>
      </x:c>
      <x:c r="J238" s="23" t="str">
        <x:v>WED P4</x:v>
      </x:c>
      <x:c r="K238" s="131" t="str"/>
      <x:c r="L238" s="143" t="str"/>
      <x:c r="M238" s="143" t="str"/>
      <x:c r="N238" s="143" t="str"/>
      <x:c r="O238" s="173" t="str"/>
      <x:c r="P238" s="159" t="str">
        <x:f>IF(COUNTIF('Routine &amp; Settings'!$I$5:$I$30,A238)&gt;0,"No",IF(E238="BECM 3204",IF(J238='Routine &amp; Settings'!$B$5,"Yes","No"),IF(E238="BECM 3208",IF(J238='Routine &amp; Settings'!$B$6,"Yes","No"),IF(E238="CE 3224",IF(J238='Routine &amp; Settings'!$B$7,"Yes","No"),IF(E238="BECM 3200",IF('Routine &amp; Settings'!$B$8="Odd Weeks",IF(MOD(C238,2)=1,"Yes","No"),IF(MOD(C238,2)=0,"Yes","No")),"Yes")))))</x:f>
        <x:v>Yes</x:v>
      </x:c>
    </x:row>
    <x:row r="239">
      <x:c r="A239" s="123" t="n">
        <x:v>46351</x:v>
      </x:c>
      <x:c r="B239" s="23" t="str">
        <x:v>Wed</x:v>
      </x:c>
      <x:c r="C239" s="23" t="n">
        <x:v>11</x:v>
      </x:c>
      <x:c r="D239" s="23" t="str">
        <x:v>Regular</x:v>
      </x:c>
      <x:c r="E239" s="23" t="str">
        <x:v>CE 3223</x:v>
      </x:c>
      <x:c r="F239" s="173" t="str">
        <x:v>Soil Mechanics</x:v>
      </x:c>
      <x:c r="G239" s="23" t="str">
        <x:v>11:30 AM–12:20 PM</x:v>
      </x:c>
      <x:c r="H239" s="23" t="str">
        <x:v>MHI</x:v>
      </x:c>
      <x:c r="I239" s="23" t="str">
        <x:v>501</x:v>
      </x:c>
      <x:c r="J239" s="23" t="str">
        <x:v>WED P5</x:v>
      </x:c>
      <x:c r="K239" s="131" t="str"/>
      <x:c r="L239" s="143" t="str"/>
      <x:c r="M239" s="143" t="str"/>
      <x:c r="N239" s="143" t="str"/>
      <x:c r="O239" s="173" t="str"/>
      <x:c r="P239" s="159" t="str">
        <x:f>IF(COUNTIF('Routine &amp; Settings'!$I$5:$I$30,A239)&gt;0,"No",IF(E239="BECM 3204",IF(J239='Routine &amp; Settings'!$B$5,"Yes","No"),IF(E239="BECM 3208",IF(J239='Routine &amp; Settings'!$B$6,"Yes","No"),IF(E239="CE 3224",IF(J239='Routine &amp; Settings'!$B$7,"Yes","No"),IF(E239="BECM 3200",IF('Routine &amp; Settings'!$B$8="Odd Weeks",IF(MOD(C239,2)=1,"Yes","No"),IF(MOD(C239,2)=0,"Yes","No")),"Yes")))))</x:f>
        <x:v>Yes</x:v>
      </x:c>
    </x:row>
    <x:row r="240">
      <x:c r="A240" s="123" t="n">
        <x:v>46351</x:v>
      </x:c>
      <x:c r="B240" s="23" t="str">
        <x:v>Wed</x:v>
      </x:c>
      <x:c r="C240" s="23" t="n">
        <x:v>11</x:v>
      </x:c>
      <x:c r="D240" s="23" t="str">
        <x:v>Regular</x:v>
      </x:c>
      <x:c r="E240" s="23" t="str">
        <x:v>BECM 3205</x:v>
      </x:c>
      <x:c r="F240" s="173" t="str">
        <x:v>Acoustics and Lighting</x:v>
      </x:c>
      <x:c r="G240" s="23" t="str">
        <x:v>12:20 PM–01:10 PM</x:v>
      </x:c>
      <x:c r="H240" s="23" t="str">
        <x:v>MSH/AAM</x:v>
      </x:c>
      <x:c r="I240" s="23" t="str">
        <x:v>501</x:v>
      </x:c>
      <x:c r="J240" s="23" t="str">
        <x:v>WED P6</x:v>
      </x:c>
      <x:c r="K240" s="131" t="str"/>
      <x:c r="L240" s="143" t="str"/>
      <x:c r="M240" s="143" t="str"/>
      <x:c r="N240" s="143" t="str"/>
      <x:c r="O240" s="173" t="str"/>
      <x:c r="P240" s="159" t="str">
        <x:f>IF(COUNTIF('Routine &amp; Settings'!$I$5:$I$30,A240)&gt;0,"No",IF(E240="BECM 3204",IF(J240='Routine &amp; Settings'!$B$5,"Yes","No"),IF(E240="BECM 3208",IF(J240='Routine &amp; Settings'!$B$6,"Yes","No"),IF(E240="CE 3224",IF(J240='Routine &amp; Settings'!$B$7,"Yes","No"),IF(E240="BECM 3200",IF('Routine &amp; Settings'!$B$8="Odd Weeks",IF(MOD(C240,2)=1,"Yes","No"),IF(MOD(C240,2)=0,"Yes","No")),"Yes")))))</x:f>
        <x:v>Yes</x:v>
      </x:c>
    </x:row>
    <x:row r="241">
      <x:c r="A241" s="123" t="n">
        <x:v>46351</x:v>
      </x:c>
      <x:c r="B241" s="23" t="str">
        <x:v>Wed</x:v>
      </x:c>
      <x:c r="C241" s="23" t="n">
        <x:v>11</x:v>
      </x:c>
      <x:c r="D241" s="23" t="str">
        <x:v>Regular</x:v>
      </x:c>
      <x:c r="E241" s="23" t="str">
        <x:v>BECM 3208</x:v>
      </x:c>
      <x:c r="F241" s="173" t="str">
        <x:v>Landscape Design</x:v>
      </x:c>
      <x:c r="G241" s="23" t="str">
        <x:v>02:30 PM–05:00 PM</x:v>
      </x:c>
      <x:c r="H241" s="23" t="str">
        <x:v>MSH/MSA</x:v>
      </x:c>
      <x:c r="I241" s="23" t="str">
        <x:v>501</x:v>
      </x:c>
      <x:c r="J241" s="23" t="str">
        <x:v>Wed PM</x:v>
      </x:c>
      <x:c r="K241" s="131" t="str"/>
      <x:c r="L241" s="143" t="str"/>
      <x:c r="M241" s="143" t="str"/>
      <x:c r="N241" s="143" t="str"/>
      <x:c r="O241" s="173" t="str"/>
      <x:c r="P241" s="159" t="str">
        <x:f>IF(COUNTIF('Routine &amp; Settings'!$I$5:$I$30,A241)&gt;0,"No",IF(E241="BECM 3204",IF(J241='Routine &amp; Settings'!$B$5,"Yes","No"),IF(E241="BECM 3208",IF(J241='Routine &amp; Settings'!$B$6,"Yes","No"),IF(E241="CE 3224",IF(J241='Routine &amp; Settings'!$B$7,"Yes","No"),IF(E241="BECM 3200",IF('Routine &amp; Settings'!$B$8="Odd Weeks",IF(MOD(C241,2)=1,"Yes","No"),IF(MOD(C241,2)=0,"Yes","No")),"Yes")))))</x:f>
        <x:v>No</x:v>
      </x:c>
    </x:row>
    <x:row r="242">
      <x:c r="A242" s="123" t="n">
        <x:v>46352</x:v>
      </x:c>
      <x:c r="B242" s="23" t="str">
        <x:v>Thu</x:v>
      </x:c>
      <x:c r="C242" s="23" t="n">
        <x:v>11</x:v>
      </x:c>
      <x:c r="D242" s="23" t="str">
        <x:v>Regular</x:v>
      </x:c>
      <x:c r="E242" s="23" t="str">
        <x:v>BECM 3204</x:v>
      </x:c>
      <x:c r="F242" s="173" t="str">
        <x:v>Construction Techniques and Equipments - II</x:v>
      </x:c>
      <x:c r="G242" s="23" t="str">
        <x:v>08:00 AM–10:30 AM</x:v>
      </x:c>
      <x:c r="H242" s="23" t="str">
        <x:v>HRS/MR</x:v>
      </x:c>
      <x:c r="I242" s="23" t="str"/>
      <x:c r="J242" s="23" t="str">
        <x:v>Thu AM</x:v>
      </x:c>
      <x:c r="K242" s="131" t="str"/>
      <x:c r="L242" s="143" t="str"/>
      <x:c r="M242" s="143" t="str"/>
      <x:c r="N242" s="143" t="str"/>
      <x:c r="O242" s="173" t="str"/>
      <x:c r="P242" s="159" t="str">
        <x:f>IF(COUNTIF('Routine &amp; Settings'!$I$5:$I$30,A242)&gt;0,"No",IF(E242="BECM 3204",IF(J242='Routine &amp; Settings'!$B$5,"Yes","No"),IF(E242="BECM 3208",IF(J242='Routine &amp; Settings'!$B$6,"Yes","No"),IF(E242="CE 3224",IF(J242='Routine &amp; Settings'!$B$7,"Yes","No"),IF(E242="BECM 3200",IF('Routine &amp; Settings'!$B$8="Odd Weeks",IF(MOD(C242,2)=1,"Yes","No"),IF(MOD(C242,2)=0,"Yes","No")),"Yes")))))</x:f>
        <x:v>No</x:v>
      </x:c>
    </x:row>
    <x:row r="243">
      <x:c r="A243" s="123" t="n">
        <x:v>46352</x:v>
      </x:c>
      <x:c r="B243" s="23" t="str">
        <x:v>Thu</x:v>
      </x:c>
      <x:c r="C243" s="23" t="n">
        <x:v>11</x:v>
      </x:c>
      <x:c r="D243" s="23" t="str">
        <x:v>Regular</x:v>
      </x:c>
      <x:c r="E243" s="23" t="str">
        <x:v>BECM 3205</x:v>
      </x:c>
      <x:c r="F243" s="173" t="str">
        <x:v>Acoustics and Lighting</x:v>
      </x:c>
      <x:c r="G243" s="23" t="str">
        <x:v>10:40 AM–11:30 AM</x:v>
      </x:c>
      <x:c r="H243" s="23" t="str">
        <x:v>MSH</x:v>
      </x:c>
      <x:c r="I243" s="23" t="str">
        <x:v>406</x:v>
      </x:c>
      <x:c r="J243" s="23" t="str">
        <x:v>THURS P4</x:v>
      </x:c>
      <x:c r="K243" s="131" t="str"/>
      <x:c r="L243" s="143" t="str"/>
      <x:c r="M243" s="143" t="str"/>
      <x:c r="N243" s="143" t="str"/>
      <x:c r="O243" s="173" t="str"/>
      <x:c r="P243" s="159" t="str">
        <x:f>IF(COUNTIF('Routine &amp; Settings'!$I$5:$I$30,A243)&gt;0,"No",IF(E243="BECM 3204",IF(J243='Routine &amp; Settings'!$B$5,"Yes","No"),IF(E243="BECM 3208",IF(J243='Routine &amp; Settings'!$B$6,"Yes","No"),IF(E243="CE 3224",IF(J243='Routine &amp; Settings'!$B$7,"Yes","No"),IF(E243="BECM 3200",IF('Routine &amp; Settings'!$B$8="Odd Weeks",IF(MOD(C243,2)=1,"Yes","No"),IF(MOD(C243,2)=0,"Yes","No")),"Yes")))))</x:f>
        <x:v>Yes</x:v>
      </x:c>
    </x:row>
    <x:row r="244">
      <x:c r="A244" s="123" t="n">
        <x:v>46352</x:v>
      </x:c>
      <x:c r="B244" s="23" t="str">
        <x:v>Thu</x:v>
      </x:c>
      <x:c r="C244" s="23" t="n">
        <x:v>11</x:v>
      </x:c>
      <x:c r="D244" s="23" t="str">
        <x:v>Regular</x:v>
      </x:c>
      <x:c r="E244" s="23" t="str">
        <x:v>CE 3211</x:v>
      </x:c>
      <x:c r="F244" s="173" t="str">
        <x:v>Structural Analysis and Design - II</x:v>
      </x:c>
      <x:c r="G244" s="23" t="str">
        <x:v>11:30 AM–12:20 PM</x:v>
      </x:c>
      <x:c r="H244" s="23" t="str">
        <x:v>MKI/ATB</x:v>
      </x:c>
      <x:c r="I244" s="23" t="str">
        <x:v>406</x:v>
      </x:c>
      <x:c r="J244" s="23" t="str">
        <x:v>THURS P5</x:v>
      </x:c>
      <x:c r="K244" s="131" t="str"/>
      <x:c r="L244" s="143" t="str"/>
      <x:c r="M244" s="143" t="str"/>
      <x:c r="N244" s="143" t="str"/>
      <x:c r="O244" s="173" t="str"/>
      <x:c r="P244" s="159" t="str">
        <x:f>IF(COUNTIF('Routine &amp; Settings'!$I$5:$I$30,A244)&gt;0,"No",IF(E244="BECM 3204",IF(J244='Routine &amp; Settings'!$B$5,"Yes","No"),IF(E244="BECM 3208",IF(J244='Routine &amp; Settings'!$B$6,"Yes","No"),IF(E244="CE 3224",IF(J244='Routine &amp; Settings'!$B$7,"Yes","No"),IF(E244="BECM 3200",IF('Routine &amp; Settings'!$B$8="Odd Weeks",IF(MOD(C244,2)=1,"Yes","No"),IF(MOD(C244,2)=0,"Yes","No")),"Yes")))))</x:f>
        <x:v>Yes</x:v>
      </x:c>
    </x:row>
    <x:row r="245">
      <x:c r="A245" s="123" t="n">
        <x:v>46352</x:v>
      </x:c>
      <x:c r="B245" s="23" t="str">
        <x:v>Thu</x:v>
      </x:c>
      <x:c r="C245" s="23" t="n">
        <x:v>11</x:v>
      </x:c>
      <x:c r="D245" s="23" t="str">
        <x:v>Regular</x:v>
      </x:c>
      <x:c r="E245" s="23" t="str">
        <x:v>BECM 3201</x:v>
      </x:c>
      <x:c r="F245" s="173" t="str">
        <x:v>Construction and Project Management - II</x:v>
      </x:c>
      <x:c r="G245" s="23" t="str">
        <x:v>12:20 PM–01:10 PM</x:v>
      </x:c>
      <x:c r="H245" s="23" t="str">
        <x:v>MR/MRA</x:v>
      </x:c>
      <x:c r="I245" s="23" t="str">
        <x:v>406</x:v>
      </x:c>
      <x:c r="J245" s="23" t="str">
        <x:v>THURS P6</x:v>
      </x:c>
      <x:c r="K245" s="131" t="str"/>
      <x:c r="L245" s="143" t="str"/>
      <x:c r="M245" s="143" t="str"/>
      <x:c r="N245" s="143" t="str"/>
      <x:c r="O245" s="173" t="str"/>
      <x:c r="P245" s="159" t="str">
        <x:f>IF(COUNTIF('Routine &amp; Settings'!$I$5:$I$30,A245)&gt;0,"No",IF(E245="BECM 3204",IF(J245='Routine &amp; Settings'!$B$5,"Yes","No"),IF(E245="BECM 3208",IF(J245='Routine &amp; Settings'!$B$6,"Yes","No"),IF(E245="CE 3224",IF(J245='Routine &amp; Settings'!$B$7,"Yes","No"),IF(E245="BECM 3200",IF('Routine &amp; Settings'!$B$8="Odd Weeks",IF(MOD(C245,2)=1,"Yes","No"),IF(MOD(C245,2)=0,"Yes","No")),"Yes")))))</x:f>
        <x:v>Yes</x:v>
      </x:c>
    </x:row>
    <x:row r="246">
      <x:c r="A246" s="123" t="n">
        <x:v>46352</x:v>
      </x:c>
      <x:c r="B246" s="23" t="str">
        <x:v>Thu</x:v>
      </x:c>
      <x:c r="C246" s="23" t="n">
        <x:v>11</x:v>
      </x:c>
      <x:c r="D246" s="23" t="str">
        <x:v>Regular</x:v>
      </x:c>
      <x:c r="E246" s="23" t="str">
        <x:v>CE 3224</x:v>
      </x:c>
      <x:c r="F246" s="173" t="str">
        <x:v>Sessional on Soil Mechanics</x:v>
      </x:c>
      <x:c r="G246" s="23" t="str">
        <x:v>02:30 PM–05:00 PM</x:v>
      </x:c>
      <x:c r="H246" s="23" t="str">
        <x:v>MHI/MRA</x:v>
      </x:c>
      <x:c r="I246" s="23" t="str">
        <x:v>405</x:v>
      </x:c>
      <x:c r="J246" s="23" t="str">
        <x:v>Thu PM</x:v>
      </x:c>
      <x:c r="K246" s="131" t="str"/>
      <x:c r="L246" s="143" t="str"/>
      <x:c r="M246" s="143" t="str"/>
      <x:c r="N246" s="143" t="str"/>
      <x:c r="O246" s="173" t="str"/>
      <x:c r="P246" s="159" t="str">
        <x:f>IF(COUNTIF('Routine &amp; Settings'!$I$5:$I$30,A246)&gt;0,"No",IF(E246="BECM 3204",IF(J246='Routine &amp; Settings'!$B$5,"Yes","No"),IF(E246="BECM 3208",IF(J246='Routine &amp; Settings'!$B$6,"Yes","No"),IF(E246="CE 3224",IF(J246='Routine &amp; Settings'!$B$7,"Yes","No"),IF(E246="BECM 3200",IF('Routine &amp; Settings'!$B$8="Odd Weeks",IF(MOD(C246,2)=1,"Yes","No"),IF(MOD(C246,2)=0,"Yes","No")),"Yes")))))</x:f>
        <x:v>No</x:v>
      </x:c>
    </x:row>
    <x:row r="247">
      <x:c r="A247" s="123" t="n">
        <x:v>46355</x:v>
      </x:c>
      <x:c r="B247" s="23" t="str">
        <x:v>Sun</x:v>
      </x:c>
      <x:c r="C247" s="23" t="n">
        <x:v>12</x:v>
      </x:c>
      <x:c r="D247" s="23" t="str">
        <x:v>Regular</x:v>
      </x:c>
      <x:c r="E247" s="23" t="str">
        <x:v>CE 3213</x:v>
      </x:c>
      <x:c r="F247" s="173" t="str">
        <x:v>Reinforced Concrete Structures - II</x:v>
      </x:c>
      <x:c r="G247" s="23" t="str">
        <x:v>10:40 AM–11:30 AM</x:v>
      </x:c>
      <x:c r="H247" s="23" t="str">
        <x:v>HRS</x:v>
      </x:c>
      <x:c r="I247" s="23" t="str">
        <x:v>501</x:v>
      </x:c>
      <x:c r="J247" s="23" t="str">
        <x:v>SUN P4</x:v>
      </x:c>
      <x:c r="K247" s="131" t="str"/>
      <x:c r="L247" s="143" t="str"/>
      <x:c r="M247" s="143" t="str"/>
      <x:c r="N247" s="143" t="str"/>
      <x:c r="O247" s="173" t="str"/>
      <x:c r="P247" s="159" t="str">
        <x:f>IF(COUNTIF('Routine &amp; Settings'!$I$5:$I$30,A247)&gt;0,"No",IF(E247="BECM 3204",IF(J247='Routine &amp; Settings'!$B$5,"Yes","No"),IF(E247="BECM 3208",IF(J247='Routine &amp; Settings'!$B$6,"Yes","No"),IF(E247="CE 3224",IF(J247='Routine &amp; Settings'!$B$7,"Yes","No"),IF(E247="BECM 3200",IF('Routine &amp; Settings'!$B$8="Odd Weeks",IF(MOD(C247,2)=1,"Yes","No"),IF(MOD(C247,2)=0,"Yes","No")),"Yes")))))</x:f>
        <x:v>Yes</x:v>
      </x:c>
    </x:row>
    <x:row r="248">
      <x:c r="A248" s="123" t="n">
        <x:v>46355</x:v>
      </x:c>
      <x:c r="B248" s="23" t="str">
        <x:v>Sun</x:v>
      </x:c>
      <x:c r="C248" s="23" t="n">
        <x:v>12</x:v>
      </x:c>
      <x:c r="D248" s="23" t="str">
        <x:v>Regular</x:v>
      </x:c>
      <x:c r="E248" s="23" t="str">
        <x:v>CE 3223</x:v>
      </x:c>
      <x:c r="F248" s="173" t="str">
        <x:v>Soil Mechanics</x:v>
      </x:c>
      <x:c r="G248" s="23" t="str">
        <x:v>11:30 AM–12:20 PM</x:v>
      </x:c>
      <x:c r="H248" s="23" t="str">
        <x:v>MSA</x:v>
      </x:c>
      <x:c r="I248" s="23" t="str">
        <x:v>501</x:v>
      </x:c>
      <x:c r="J248" s="23" t="str">
        <x:v>SUN P5</x:v>
      </x:c>
      <x:c r="K248" s="131" t="str"/>
      <x:c r="L248" s="143" t="str"/>
      <x:c r="M248" s="143" t="str"/>
      <x:c r="N248" s="143" t="str"/>
      <x:c r="O248" s="173" t="str"/>
      <x:c r="P248" s="159" t="str">
        <x:f>IF(COUNTIF('Routine &amp; Settings'!$I$5:$I$30,A248)&gt;0,"No",IF(E248="BECM 3204",IF(J248='Routine &amp; Settings'!$B$5,"Yes","No"),IF(E248="BECM 3208",IF(J248='Routine &amp; Settings'!$B$6,"Yes","No"),IF(E248="CE 3224",IF(J248='Routine &amp; Settings'!$B$7,"Yes","No"),IF(E248="BECM 3200",IF('Routine &amp; Settings'!$B$8="Odd Weeks",IF(MOD(C248,2)=1,"Yes","No"),IF(MOD(C248,2)=0,"Yes","No")),"Yes")))))</x:f>
        <x:v>Yes</x:v>
      </x:c>
    </x:row>
    <x:row r="249">
      <x:c r="A249" s="123" t="n">
        <x:v>46355</x:v>
      </x:c>
      <x:c r="B249" s="23" t="str">
        <x:v>Sun</x:v>
      </x:c>
      <x:c r="C249" s="23" t="n">
        <x:v>12</x:v>
      </x:c>
      <x:c r="D249" s="23" t="str">
        <x:v>Regular</x:v>
      </x:c>
      <x:c r="E249" s="23" t="str">
        <x:v>CE 3211</x:v>
      </x:c>
      <x:c r="F249" s="173" t="str">
        <x:v>Structural Analysis and Design - II</x:v>
      </x:c>
      <x:c r="G249" s="23" t="str">
        <x:v>12:20 PM–01:10 PM</x:v>
      </x:c>
      <x:c r="H249" s="23" t="str">
        <x:v>MKI</x:v>
      </x:c>
      <x:c r="I249" s="23" t="str">
        <x:v>501</x:v>
      </x:c>
      <x:c r="J249" s="23" t="str">
        <x:v>SUN P6</x:v>
      </x:c>
      <x:c r="K249" s="131" t="str"/>
      <x:c r="L249" s="143" t="str"/>
      <x:c r="M249" s="143" t="str"/>
      <x:c r="N249" s="143" t="str"/>
      <x:c r="O249" s="173" t="str"/>
      <x:c r="P249" s="159" t="str">
        <x:f>IF(COUNTIF('Routine &amp; Settings'!$I$5:$I$30,A249)&gt;0,"No",IF(E249="BECM 3204",IF(J249='Routine &amp; Settings'!$B$5,"Yes","No"),IF(E249="BECM 3208",IF(J249='Routine &amp; Settings'!$B$6,"Yes","No"),IF(E249="CE 3224",IF(J249='Routine &amp; Settings'!$B$7,"Yes","No"),IF(E249="BECM 3200",IF('Routine &amp; Settings'!$B$8="Odd Weeks",IF(MOD(C249,2)=1,"Yes","No"),IF(MOD(C249,2)=0,"Yes","No")),"Yes")))))</x:f>
        <x:v>Yes</x:v>
      </x:c>
    </x:row>
    <x:row r="250">
      <x:c r="A250" s="123" t="n">
        <x:v>46355</x:v>
      </x:c>
      <x:c r="B250" s="23" t="str">
        <x:v>Sun</x:v>
      </x:c>
      <x:c r="C250" s="23" t="n">
        <x:v>12</x:v>
      </x:c>
      <x:c r="D250" s="23" t="str">
        <x:v>Regular</x:v>
      </x:c>
      <x:c r="E250" s="23" t="str">
        <x:v>BECM 3204</x:v>
      </x:c>
      <x:c r="F250" s="173" t="str">
        <x:v>Construction Techniques and Equipments - II</x:v>
      </x:c>
      <x:c r="G250" s="23" t="str">
        <x:v>02:30 PM–05:00 PM</x:v>
      </x:c>
      <x:c r="H250" s="23" t="str">
        <x:v>HRS/MR</x:v>
      </x:c>
      <x:c r="I250" s="23" t="str">
        <x:v>404</x:v>
      </x:c>
      <x:c r="J250" s="23" t="str">
        <x:v>Sun PM</x:v>
      </x:c>
      <x:c r="K250" s="131" t="str"/>
      <x:c r="L250" s="143" t="str"/>
      <x:c r="M250" s="143" t="str"/>
      <x:c r="N250" s="143" t="str"/>
      <x:c r="O250" s="173" t="str"/>
      <x:c r="P250" s="159" t="str">
        <x:f>IF(COUNTIF('Routine &amp; Settings'!$I$5:$I$30,A250)&gt;0,"No",IF(E250="BECM 3204",IF(J250='Routine &amp; Settings'!$B$5,"Yes","No"),IF(E250="BECM 3208",IF(J250='Routine &amp; Settings'!$B$6,"Yes","No"),IF(E250="CE 3224",IF(J250='Routine &amp; Settings'!$B$7,"Yes","No"),IF(E250="BECM 3200",IF('Routine &amp; Settings'!$B$8="Odd Weeks",IF(MOD(C250,2)=1,"Yes","No"),IF(MOD(C250,2)=0,"Yes","No")),"Yes")))))</x:f>
        <x:v>Yes</x:v>
      </x:c>
    </x:row>
    <x:row r="251">
      <x:c r="A251" s="123" t="n">
        <x:v>46356</x:v>
      </x:c>
      <x:c r="B251" s="23" t="str">
        <x:v>Mon</x:v>
      </x:c>
      <x:c r="C251" s="23" t="n">
        <x:v>12</x:v>
      </x:c>
      <x:c r="D251" s="23" t="str">
        <x:v>Regular</x:v>
      </x:c>
      <x:c r="E251" s="23" t="str">
        <x:v>CE 3223</x:v>
      </x:c>
      <x:c r="F251" s="173" t="str">
        <x:v>Soil Mechanics</x:v>
      </x:c>
      <x:c r="G251" s="23" t="str">
        <x:v>09:40 AM–10:30 AM</x:v>
      </x:c>
      <x:c r="H251" s="23" t="str">
        <x:v>MHI/MSA</x:v>
      </x:c>
      <x:c r="I251" s="23" t="str">
        <x:v>404</x:v>
      </x:c>
      <x:c r="J251" s="23" t="str">
        <x:v>MON P3</x:v>
      </x:c>
      <x:c r="K251" s="131" t="str"/>
      <x:c r="L251" s="143" t="str"/>
      <x:c r="M251" s="143" t="str"/>
      <x:c r="N251" s="143" t="str"/>
      <x:c r="O251" s="173" t="str"/>
      <x:c r="P251" s="159" t="str">
        <x:f>IF(COUNTIF('Routine &amp; Settings'!$I$5:$I$30,A251)&gt;0,"No",IF(E251="BECM 3204",IF(J251='Routine &amp; Settings'!$B$5,"Yes","No"),IF(E251="BECM 3208",IF(J251='Routine &amp; Settings'!$B$6,"Yes","No"),IF(E251="CE 3224",IF(J251='Routine &amp; Settings'!$B$7,"Yes","No"),IF(E251="BECM 3200",IF('Routine &amp; Settings'!$B$8="Odd Weeks",IF(MOD(C251,2)=1,"Yes","No"),IF(MOD(C251,2)=0,"Yes","No")),"Yes")))))</x:f>
        <x:v>Yes</x:v>
      </x:c>
    </x:row>
    <x:row r="252">
      <x:c r="A252" s="123" t="n">
        <x:v>46356</x:v>
      </x:c>
      <x:c r="B252" s="23" t="str">
        <x:v>Mon</x:v>
      </x:c>
      <x:c r="C252" s="23" t="n">
        <x:v>12</x:v>
      </x:c>
      <x:c r="D252" s="23" t="str">
        <x:v>Regular</x:v>
      </x:c>
      <x:c r="E252" s="23" t="str">
        <x:v>BECM 3201</x:v>
      </x:c>
      <x:c r="F252" s="173" t="str">
        <x:v>Construction and Project Management - II</x:v>
      </x:c>
      <x:c r="G252" s="23" t="str">
        <x:v>11:30 AM–12:20 PM</x:v>
      </x:c>
      <x:c r="H252" s="23" t="str">
        <x:v>MR</x:v>
      </x:c>
      <x:c r="I252" s="23" t="str">
        <x:v>405</x:v>
      </x:c>
      <x:c r="J252" s="23" t="str">
        <x:v>MON P5</x:v>
      </x:c>
      <x:c r="K252" s="131" t="str"/>
      <x:c r="L252" s="143" t="str"/>
      <x:c r="M252" s="143" t="str"/>
      <x:c r="N252" s="143" t="str"/>
      <x:c r="O252" s="173" t="str"/>
      <x:c r="P252" s="159" t="str">
        <x:f>IF(COUNTIF('Routine &amp; Settings'!$I$5:$I$30,A252)&gt;0,"No",IF(E252="BECM 3204",IF(J252='Routine &amp; Settings'!$B$5,"Yes","No"),IF(E252="BECM 3208",IF(J252='Routine &amp; Settings'!$B$6,"Yes","No"),IF(E252="CE 3224",IF(J252='Routine &amp; Settings'!$B$7,"Yes","No"),IF(E252="BECM 3200",IF('Routine &amp; Settings'!$B$8="Odd Weeks",IF(MOD(C252,2)=1,"Yes","No"),IF(MOD(C252,2)=0,"Yes","No")),"Yes")))))</x:f>
        <x:v>Yes</x:v>
      </x:c>
    </x:row>
    <x:row r="253">
      <x:c r="A253" s="123" t="n">
        <x:v>46356</x:v>
      </x:c>
      <x:c r="B253" s="23" t="str">
        <x:v>Mon</x:v>
      </x:c>
      <x:c r="C253" s="23" t="n">
        <x:v>12</x:v>
      </x:c>
      <x:c r="D253" s="23" t="str">
        <x:v>Regular</x:v>
      </x:c>
      <x:c r="E253" s="23" t="str">
        <x:v>BECM 3205</x:v>
      </x:c>
      <x:c r="F253" s="173" t="str">
        <x:v>Acoustics and Lighting</x:v>
      </x:c>
      <x:c r="G253" s="23" t="str">
        <x:v>12:20 PM–01:10 PM</x:v>
      </x:c>
      <x:c r="H253" s="23" t="str">
        <x:v>AAM</x:v>
      </x:c>
      <x:c r="I253" s="23" t="str">
        <x:v>405</x:v>
      </x:c>
      <x:c r="J253" s="23" t="str">
        <x:v>MON P6</x:v>
      </x:c>
      <x:c r="K253" s="131" t="str"/>
      <x:c r="L253" s="143" t="str"/>
      <x:c r="M253" s="143" t="str"/>
      <x:c r="N253" s="143" t="str"/>
      <x:c r="O253" s="173" t="str"/>
      <x:c r="P253" s="159" t="str">
        <x:f>IF(COUNTIF('Routine &amp; Settings'!$I$5:$I$30,A253)&gt;0,"No",IF(E253="BECM 3204",IF(J253='Routine &amp; Settings'!$B$5,"Yes","No"),IF(E253="BECM 3208",IF(J253='Routine &amp; Settings'!$B$6,"Yes","No"),IF(E253="CE 3224",IF(J253='Routine &amp; Settings'!$B$7,"Yes","No"),IF(E253="BECM 3200",IF('Routine &amp; Settings'!$B$8="Odd Weeks",IF(MOD(C253,2)=1,"Yes","No"),IF(MOD(C253,2)=0,"Yes","No")),"Yes")))))</x:f>
        <x:v>Yes</x:v>
      </x:c>
    </x:row>
    <x:row r="254">
      <x:c r="A254" s="123" t="n">
        <x:v>46356</x:v>
      </x:c>
      <x:c r="B254" s="23" t="str">
        <x:v>Mon</x:v>
      </x:c>
      <x:c r="C254" s="23" t="n">
        <x:v>12</x:v>
      </x:c>
      <x:c r="D254" s="23" t="str">
        <x:v>Regular</x:v>
      </x:c>
      <x:c r="E254" s="23" t="str">
        <x:v>BECM 3200</x:v>
      </x:c>
      <x:c r="F254" s="173" t="str">
        <x:v>Project and Seminar</x:v>
      </x:c>
      <x:c r="G254" s="23" t="str">
        <x:v>02:30 PM–05:00 PM</x:v>
      </x:c>
      <x:c r="H254" s="23" t="str">
        <x:v>ALL</x:v>
      </x:c>
      <x:c r="I254" s="23" t="str"/>
      <x:c r="J254" s="23" t="str">
        <x:v>Mon PM</x:v>
      </x:c>
      <x:c r="K254" s="131" t="str"/>
      <x:c r="L254" s="143" t="str"/>
      <x:c r="M254" s="143" t="str"/>
      <x:c r="N254" s="143" t="str"/>
      <x:c r="O254" s="173" t="str"/>
      <x:c r="P254" s="159" t="str">
        <x:f>IF(COUNTIF('Routine &amp; Settings'!$I$5:$I$30,A254)&gt;0,"No",IF(E254="BECM 3204",IF(J254='Routine &amp; Settings'!$B$5,"Yes","No"),IF(E254="BECM 3208",IF(J254='Routine &amp; Settings'!$B$6,"Yes","No"),IF(E254="CE 3224",IF(J254='Routine &amp; Settings'!$B$7,"Yes","No"),IF(E254="BECM 3200",IF('Routine &amp; Settings'!$B$8="Odd Weeks",IF(MOD(C254,2)=1,"Yes","No"),IF(MOD(C254,2)=0,"Yes","No")),"Yes")))))</x:f>
        <x:v>No</x:v>
      </x:c>
    </x:row>
    <x:row r="255">
      <x:c r="A255" s="123" t="n">
        <x:v>46357</x:v>
      </x:c>
      <x:c r="B255" s="23" t="str">
        <x:v>Tue</x:v>
      </x:c>
      <x:c r="C255" s="23" t="n">
        <x:v>12</x:v>
      </x:c>
      <x:c r="D255" s="23" t="str">
        <x:v>Regular</x:v>
      </x:c>
      <x:c r="E255" s="23" t="str">
        <x:v>CE 3224</x:v>
      </x:c>
      <x:c r="F255" s="173" t="str">
        <x:v>Sessional on Soil Mechanics</x:v>
      </x:c>
      <x:c r="G255" s="23" t="str">
        <x:v>08:00 AM–10:30 AM</x:v>
      </x:c>
      <x:c r="H255" s="23" t="str">
        <x:v>MHI/MRA</x:v>
      </x:c>
      <x:c r="I255" s="23" t="str"/>
      <x:c r="J255" s="23" t="str">
        <x:v>Tue AM</x:v>
      </x:c>
      <x:c r="K255" s="131" t="str"/>
      <x:c r="L255" s="143" t="str"/>
      <x:c r="M255" s="143" t="str"/>
      <x:c r="N255" s="143" t="str"/>
      <x:c r="O255" s="173" t="str"/>
      <x:c r="P255" s="159" t="str">
        <x:f>IF(COUNTIF('Routine &amp; Settings'!$I$5:$I$30,A255)&gt;0,"No",IF(E255="BECM 3204",IF(J255='Routine &amp; Settings'!$B$5,"Yes","No"),IF(E255="BECM 3208",IF(J255='Routine &amp; Settings'!$B$6,"Yes","No"),IF(E255="CE 3224",IF(J255='Routine &amp; Settings'!$B$7,"Yes","No"),IF(E255="BECM 3200",IF('Routine &amp; Settings'!$B$8="Odd Weeks",IF(MOD(C255,2)=1,"Yes","No"),IF(MOD(C255,2)=0,"Yes","No")),"Yes")))))</x:f>
        <x:v>Yes</x:v>
      </x:c>
    </x:row>
    <x:row r="256">
      <x:c r="A256" s="123" t="n">
        <x:v>46357</x:v>
      </x:c>
      <x:c r="B256" s="23" t="str">
        <x:v>Tue</x:v>
      </x:c>
      <x:c r="C256" s="23" t="n">
        <x:v>12</x:v>
      </x:c>
      <x:c r="D256" s="23" t="str">
        <x:v>Regular</x:v>
      </x:c>
      <x:c r="E256" s="23" t="str">
        <x:v>CE 3213</x:v>
      </x:c>
      <x:c r="F256" s="173" t="str">
        <x:v>Reinforced Concrete Structures - II</x:v>
      </x:c>
      <x:c r="G256" s="23" t="str">
        <x:v>11:30 AM–12:20 PM</x:v>
      </x:c>
      <x:c r="H256" s="23" t="str">
        <x:v>MKI</x:v>
      </x:c>
      <x:c r="I256" s="23" t="str">
        <x:v>405</x:v>
      </x:c>
      <x:c r="J256" s="23" t="str">
        <x:v>TUES P5</x:v>
      </x:c>
      <x:c r="K256" s="131" t="str"/>
      <x:c r="L256" s="143" t="str"/>
      <x:c r="M256" s="143" t="str"/>
      <x:c r="N256" s="143" t="str"/>
      <x:c r="O256" s="173" t="str"/>
      <x:c r="P256" s="159" t="str">
        <x:f>IF(COUNTIF('Routine &amp; Settings'!$I$5:$I$30,A256)&gt;0,"No",IF(E256="BECM 3204",IF(J256='Routine &amp; Settings'!$B$5,"Yes","No"),IF(E256="BECM 3208",IF(J256='Routine &amp; Settings'!$B$6,"Yes","No"),IF(E256="CE 3224",IF(J256='Routine &amp; Settings'!$B$7,"Yes","No"),IF(E256="BECM 3200",IF('Routine &amp; Settings'!$B$8="Odd Weeks",IF(MOD(C256,2)=1,"Yes","No"),IF(MOD(C256,2)=0,"Yes","No")),"Yes")))))</x:f>
        <x:v>Yes</x:v>
      </x:c>
    </x:row>
    <x:row r="257">
      <x:c r="A257" s="123" t="n">
        <x:v>46357</x:v>
      </x:c>
      <x:c r="B257" s="23" t="str">
        <x:v>Tue</x:v>
      </x:c>
      <x:c r="C257" s="23" t="n">
        <x:v>12</x:v>
      </x:c>
      <x:c r="D257" s="23" t="str">
        <x:v>Regular</x:v>
      </x:c>
      <x:c r="E257" s="23" t="str">
        <x:v>BECM 3201</x:v>
      </x:c>
      <x:c r="F257" s="173" t="str">
        <x:v>Construction and Project Management - II</x:v>
      </x:c>
      <x:c r="G257" s="23" t="str">
        <x:v>12:20 PM–01:10 PM</x:v>
      </x:c>
      <x:c r="H257" s="23" t="str">
        <x:v>MRA</x:v>
      </x:c>
      <x:c r="I257" s="23" t="str">
        <x:v>405</x:v>
      </x:c>
      <x:c r="J257" s="23" t="str">
        <x:v>TUES P6</x:v>
      </x:c>
      <x:c r="K257" s="131" t="str"/>
      <x:c r="L257" s="143" t="str"/>
      <x:c r="M257" s="143" t="str"/>
      <x:c r="N257" s="143" t="str"/>
      <x:c r="O257" s="173" t="str"/>
      <x:c r="P257" s="159" t="str">
        <x:f>IF(COUNTIF('Routine &amp; Settings'!$I$5:$I$30,A257)&gt;0,"No",IF(E257="BECM 3204",IF(J257='Routine &amp; Settings'!$B$5,"Yes","No"),IF(E257="BECM 3208",IF(J257='Routine &amp; Settings'!$B$6,"Yes","No"),IF(E257="CE 3224",IF(J257='Routine &amp; Settings'!$B$7,"Yes","No"),IF(E257="BECM 3200",IF('Routine &amp; Settings'!$B$8="Odd Weeks",IF(MOD(C257,2)=1,"Yes","No"),IF(MOD(C257,2)=0,"Yes","No")),"Yes")))))</x:f>
        <x:v>Yes</x:v>
      </x:c>
    </x:row>
    <x:row r="258">
      <x:c r="A258" s="123" t="n">
        <x:v>46357</x:v>
      </x:c>
      <x:c r="B258" s="23" t="str">
        <x:v>Tue</x:v>
      </x:c>
      <x:c r="C258" s="23" t="n">
        <x:v>12</x:v>
      </x:c>
      <x:c r="D258" s="23" t="str">
        <x:v>Regular</x:v>
      </x:c>
      <x:c r="E258" s="23" t="str">
        <x:v>BECM 3208</x:v>
      </x:c>
      <x:c r="F258" s="173" t="str">
        <x:v>Landscape Design</x:v>
      </x:c>
      <x:c r="G258" s="23" t="str">
        <x:v>02:30 PM–05:00 PM</x:v>
      </x:c>
      <x:c r="H258" s="23" t="str">
        <x:v>MSH/MSA</x:v>
      </x:c>
      <x:c r="I258" s="23" t="str"/>
      <x:c r="J258" s="23" t="str">
        <x:v>Tue PM</x:v>
      </x:c>
      <x:c r="K258" s="131" t="str"/>
      <x:c r="L258" s="143" t="str"/>
      <x:c r="M258" s="143" t="str"/>
      <x:c r="N258" s="143" t="str"/>
      <x:c r="O258" s="173" t="str"/>
      <x:c r="P258" s="159" t="str">
        <x:f>IF(COUNTIF('Routine &amp; Settings'!$I$5:$I$30,A258)&gt;0,"No",IF(E258="BECM 3204",IF(J258='Routine &amp; Settings'!$B$5,"Yes","No"),IF(E258="BECM 3208",IF(J258='Routine &amp; Settings'!$B$6,"Yes","No"),IF(E258="CE 3224",IF(J258='Routine &amp; Settings'!$B$7,"Yes","No"),IF(E258="BECM 3200",IF('Routine &amp; Settings'!$B$8="Odd Weeks",IF(MOD(C258,2)=1,"Yes","No"),IF(MOD(C258,2)=0,"Yes","No")),"Yes")))))</x:f>
        <x:v>Yes</x:v>
      </x:c>
    </x:row>
    <x:row r="259">
      <x:c r="A259" s="123" t="n">
        <x:v>46358</x:v>
      </x:c>
      <x:c r="B259" s="23" t="str">
        <x:v>Wed</x:v>
      </x:c>
      <x:c r="C259" s="23" t="n">
        <x:v>12</x:v>
      </x:c>
      <x:c r="D259" s="23" t="str">
        <x:v>Regular</x:v>
      </x:c>
      <x:c r="E259" s="23" t="str">
        <x:v>CE 3213</x:v>
      </x:c>
      <x:c r="F259" s="173" t="str">
        <x:v>Reinforced Concrete Structures - II</x:v>
      </x:c>
      <x:c r="G259" s="23" t="str">
        <x:v>09:40 AM–10:30 AM</x:v>
      </x:c>
      <x:c r="H259" s="23" t="str">
        <x:v>HRS/MKI</x:v>
      </x:c>
      <x:c r="I259" s="23" t="str">
        <x:v>501</x:v>
      </x:c>
      <x:c r="J259" s="23" t="str">
        <x:v>WED P3</x:v>
      </x:c>
      <x:c r="K259" s="131" t="str"/>
      <x:c r="L259" s="143" t="str"/>
      <x:c r="M259" s="143" t="str"/>
      <x:c r="N259" s="143" t="str"/>
      <x:c r="O259" s="173" t="str"/>
      <x:c r="P259" s="159" t="str">
        <x:f>IF(COUNTIF('Routine &amp; Settings'!$I$5:$I$30,A259)&gt;0,"No",IF(E259="BECM 3204",IF(J259='Routine &amp; Settings'!$B$5,"Yes","No"),IF(E259="BECM 3208",IF(J259='Routine &amp; Settings'!$B$6,"Yes","No"),IF(E259="CE 3224",IF(J259='Routine &amp; Settings'!$B$7,"Yes","No"),IF(E259="BECM 3200",IF('Routine &amp; Settings'!$B$8="Odd Weeks",IF(MOD(C259,2)=1,"Yes","No"),IF(MOD(C259,2)=0,"Yes","No")),"Yes")))))</x:f>
        <x:v>Yes</x:v>
      </x:c>
    </x:row>
    <x:row r="260">
      <x:c r="A260" s="123" t="n">
        <x:v>46358</x:v>
      </x:c>
      <x:c r="B260" s="23" t="str">
        <x:v>Wed</x:v>
      </x:c>
      <x:c r="C260" s="23" t="n">
        <x:v>12</x:v>
      </x:c>
      <x:c r="D260" s="23" t="str">
        <x:v>Regular</x:v>
      </x:c>
      <x:c r="E260" s="23" t="str">
        <x:v>CE 3211</x:v>
      </x:c>
      <x:c r="F260" s="173" t="str">
        <x:v>Structural Analysis and Design - II</x:v>
      </x:c>
      <x:c r="G260" s="23" t="str">
        <x:v>10:40 AM–11:30 AM</x:v>
      </x:c>
      <x:c r="H260" s="23" t="str">
        <x:v>ATB</x:v>
      </x:c>
      <x:c r="I260" s="23" t="str">
        <x:v>501</x:v>
      </x:c>
      <x:c r="J260" s="23" t="str">
        <x:v>WED P4</x:v>
      </x:c>
      <x:c r="K260" s="131" t="str"/>
      <x:c r="L260" s="143" t="str"/>
      <x:c r="M260" s="143" t="str"/>
      <x:c r="N260" s="143" t="str"/>
      <x:c r="O260" s="173" t="str"/>
      <x:c r="P260" s="159" t="str">
        <x:f>IF(COUNTIF('Routine &amp; Settings'!$I$5:$I$30,A260)&gt;0,"No",IF(E260="BECM 3204",IF(J260='Routine &amp; Settings'!$B$5,"Yes","No"),IF(E260="BECM 3208",IF(J260='Routine &amp; Settings'!$B$6,"Yes","No"),IF(E260="CE 3224",IF(J260='Routine &amp; Settings'!$B$7,"Yes","No"),IF(E260="BECM 3200",IF('Routine &amp; Settings'!$B$8="Odd Weeks",IF(MOD(C260,2)=1,"Yes","No"),IF(MOD(C260,2)=0,"Yes","No")),"Yes")))))</x:f>
        <x:v>Yes</x:v>
      </x:c>
    </x:row>
    <x:row r="261">
      <x:c r="A261" s="123" t="n">
        <x:v>46358</x:v>
      </x:c>
      <x:c r="B261" s="23" t="str">
        <x:v>Wed</x:v>
      </x:c>
      <x:c r="C261" s="23" t="n">
        <x:v>12</x:v>
      </x:c>
      <x:c r="D261" s="23" t="str">
        <x:v>Regular</x:v>
      </x:c>
      <x:c r="E261" s="23" t="str">
        <x:v>CE 3223</x:v>
      </x:c>
      <x:c r="F261" s="173" t="str">
        <x:v>Soil Mechanics</x:v>
      </x:c>
      <x:c r="G261" s="23" t="str">
        <x:v>11:30 AM–12:20 PM</x:v>
      </x:c>
      <x:c r="H261" s="23" t="str">
        <x:v>MHI</x:v>
      </x:c>
      <x:c r="I261" s="23" t="str">
        <x:v>501</x:v>
      </x:c>
      <x:c r="J261" s="23" t="str">
        <x:v>WED P5</x:v>
      </x:c>
      <x:c r="K261" s="131" t="str"/>
      <x:c r="L261" s="143" t="str"/>
      <x:c r="M261" s="143" t="str"/>
      <x:c r="N261" s="143" t="str"/>
      <x:c r="O261" s="173" t="str"/>
      <x:c r="P261" s="159" t="str">
        <x:f>IF(COUNTIF('Routine &amp; Settings'!$I$5:$I$30,A261)&gt;0,"No",IF(E261="BECM 3204",IF(J261='Routine &amp; Settings'!$B$5,"Yes","No"),IF(E261="BECM 3208",IF(J261='Routine &amp; Settings'!$B$6,"Yes","No"),IF(E261="CE 3224",IF(J261='Routine &amp; Settings'!$B$7,"Yes","No"),IF(E261="BECM 3200",IF('Routine &amp; Settings'!$B$8="Odd Weeks",IF(MOD(C261,2)=1,"Yes","No"),IF(MOD(C261,2)=0,"Yes","No")),"Yes")))))</x:f>
        <x:v>Yes</x:v>
      </x:c>
    </x:row>
    <x:row r="262">
      <x:c r="A262" s="123" t="n">
        <x:v>46358</x:v>
      </x:c>
      <x:c r="B262" s="23" t="str">
        <x:v>Wed</x:v>
      </x:c>
      <x:c r="C262" s="23" t="n">
        <x:v>12</x:v>
      </x:c>
      <x:c r="D262" s="23" t="str">
        <x:v>Regular</x:v>
      </x:c>
      <x:c r="E262" s="23" t="str">
        <x:v>BECM 3205</x:v>
      </x:c>
      <x:c r="F262" s="173" t="str">
        <x:v>Acoustics and Lighting</x:v>
      </x:c>
      <x:c r="G262" s="23" t="str">
        <x:v>12:20 PM–01:10 PM</x:v>
      </x:c>
      <x:c r="H262" s="23" t="str">
        <x:v>MSH/AAM</x:v>
      </x:c>
      <x:c r="I262" s="23" t="str">
        <x:v>501</x:v>
      </x:c>
      <x:c r="J262" s="23" t="str">
        <x:v>WED P6</x:v>
      </x:c>
      <x:c r="K262" s="131" t="str"/>
      <x:c r="L262" s="143" t="str"/>
      <x:c r="M262" s="143" t="str"/>
      <x:c r="N262" s="143" t="str"/>
      <x:c r="O262" s="173" t="str"/>
      <x:c r="P262" s="159" t="str">
        <x:f>IF(COUNTIF('Routine &amp; Settings'!$I$5:$I$30,A262)&gt;0,"No",IF(E262="BECM 3204",IF(J262='Routine &amp; Settings'!$B$5,"Yes","No"),IF(E262="BECM 3208",IF(J262='Routine &amp; Settings'!$B$6,"Yes","No"),IF(E262="CE 3224",IF(J262='Routine &amp; Settings'!$B$7,"Yes","No"),IF(E262="BECM 3200",IF('Routine &amp; Settings'!$B$8="Odd Weeks",IF(MOD(C262,2)=1,"Yes","No"),IF(MOD(C262,2)=0,"Yes","No")),"Yes")))))</x:f>
        <x:v>Yes</x:v>
      </x:c>
    </x:row>
    <x:row r="263">
      <x:c r="A263" s="123" t="n">
        <x:v>46358</x:v>
      </x:c>
      <x:c r="B263" s="23" t="str">
        <x:v>Wed</x:v>
      </x:c>
      <x:c r="C263" s="23" t="n">
        <x:v>12</x:v>
      </x:c>
      <x:c r="D263" s="23" t="str">
        <x:v>Regular</x:v>
      </x:c>
      <x:c r="E263" s="23" t="str">
        <x:v>BECM 3208</x:v>
      </x:c>
      <x:c r="F263" s="173" t="str">
        <x:v>Landscape Design</x:v>
      </x:c>
      <x:c r="G263" s="23" t="str">
        <x:v>02:30 PM–05:00 PM</x:v>
      </x:c>
      <x:c r="H263" s="23" t="str">
        <x:v>MSH/MSA</x:v>
      </x:c>
      <x:c r="I263" s="23" t="str">
        <x:v>501</x:v>
      </x:c>
      <x:c r="J263" s="23" t="str">
        <x:v>Wed PM</x:v>
      </x:c>
      <x:c r="K263" s="131" t="str"/>
      <x:c r="L263" s="143" t="str"/>
      <x:c r="M263" s="143" t="str"/>
      <x:c r="N263" s="143" t="str"/>
      <x:c r="O263" s="173" t="str"/>
      <x:c r="P263" s="159" t="str">
        <x:f>IF(COUNTIF('Routine &amp; Settings'!$I$5:$I$30,A263)&gt;0,"No",IF(E263="BECM 3204",IF(J263='Routine &amp; Settings'!$B$5,"Yes","No"),IF(E263="BECM 3208",IF(J263='Routine &amp; Settings'!$B$6,"Yes","No"),IF(E263="CE 3224",IF(J263='Routine &amp; Settings'!$B$7,"Yes","No"),IF(E263="BECM 3200",IF('Routine &amp; Settings'!$B$8="Odd Weeks",IF(MOD(C263,2)=1,"Yes","No"),IF(MOD(C263,2)=0,"Yes","No")),"Yes")))))</x:f>
        <x:v>No</x:v>
      </x:c>
    </x:row>
    <x:row r="264">
      <x:c r="A264" s="123" t="n">
        <x:v>46359</x:v>
      </x:c>
      <x:c r="B264" s="23" t="str">
        <x:v>Thu</x:v>
      </x:c>
      <x:c r="C264" s="23" t="n">
        <x:v>12</x:v>
      </x:c>
      <x:c r="D264" s="23" t="str">
        <x:v>Regular</x:v>
      </x:c>
      <x:c r="E264" s="23" t="str">
        <x:v>BECM 3204</x:v>
      </x:c>
      <x:c r="F264" s="173" t="str">
        <x:v>Construction Techniques and Equipments - II</x:v>
      </x:c>
      <x:c r="G264" s="23" t="str">
        <x:v>08:00 AM–10:30 AM</x:v>
      </x:c>
      <x:c r="H264" s="23" t="str">
        <x:v>HRS/MR</x:v>
      </x:c>
      <x:c r="I264" s="23" t="str"/>
      <x:c r="J264" s="23" t="str">
        <x:v>Thu AM</x:v>
      </x:c>
      <x:c r="K264" s="131" t="str"/>
      <x:c r="L264" s="143" t="str"/>
      <x:c r="M264" s="143" t="str"/>
      <x:c r="N264" s="143" t="str"/>
      <x:c r="O264" s="173" t="str"/>
      <x:c r="P264" s="159" t="str">
        <x:f>IF(COUNTIF('Routine &amp; Settings'!$I$5:$I$30,A264)&gt;0,"No",IF(E264="BECM 3204",IF(J264='Routine &amp; Settings'!$B$5,"Yes","No"),IF(E264="BECM 3208",IF(J264='Routine &amp; Settings'!$B$6,"Yes","No"),IF(E264="CE 3224",IF(J264='Routine &amp; Settings'!$B$7,"Yes","No"),IF(E264="BECM 3200",IF('Routine &amp; Settings'!$B$8="Odd Weeks",IF(MOD(C264,2)=1,"Yes","No"),IF(MOD(C264,2)=0,"Yes","No")),"Yes")))))</x:f>
        <x:v>No</x:v>
      </x:c>
    </x:row>
    <x:row r="265">
      <x:c r="A265" s="123" t="n">
        <x:v>46359</x:v>
      </x:c>
      <x:c r="B265" s="23" t="str">
        <x:v>Thu</x:v>
      </x:c>
      <x:c r="C265" s="23" t="n">
        <x:v>12</x:v>
      </x:c>
      <x:c r="D265" s="23" t="str">
        <x:v>Regular</x:v>
      </x:c>
      <x:c r="E265" s="23" t="str">
        <x:v>BECM 3205</x:v>
      </x:c>
      <x:c r="F265" s="173" t="str">
        <x:v>Acoustics and Lighting</x:v>
      </x:c>
      <x:c r="G265" s="23" t="str">
        <x:v>10:40 AM–11:30 AM</x:v>
      </x:c>
      <x:c r="H265" s="23" t="str">
        <x:v>MSH</x:v>
      </x:c>
      <x:c r="I265" s="23" t="str">
        <x:v>406</x:v>
      </x:c>
      <x:c r="J265" s="23" t="str">
        <x:v>THURS P4</x:v>
      </x:c>
      <x:c r="K265" s="131" t="str"/>
      <x:c r="L265" s="143" t="str"/>
      <x:c r="M265" s="143" t="str"/>
      <x:c r="N265" s="143" t="str"/>
      <x:c r="O265" s="173" t="str"/>
      <x:c r="P265" s="159" t="str">
        <x:f>IF(COUNTIF('Routine &amp; Settings'!$I$5:$I$30,A265)&gt;0,"No",IF(E265="BECM 3204",IF(J265='Routine &amp; Settings'!$B$5,"Yes","No"),IF(E265="BECM 3208",IF(J265='Routine &amp; Settings'!$B$6,"Yes","No"),IF(E265="CE 3224",IF(J265='Routine &amp; Settings'!$B$7,"Yes","No"),IF(E265="BECM 3200",IF('Routine &amp; Settings'!$B$8="Odd Weeks",IF(MOD(C265,2)=1,"Yes","No"),IF(MOD(C265,2)=0,"Yes","No")),"Yes")))))</x:f>
        <x:v>Yes</x:v>
      </x:c>
    </x:row>
    <x:row r="266">
      <x:c r="A266" s="123" t="n">
        <x:v>46359</x:v>
      </x:c>
      <x:c r="B266" s="23" t="str">
        <x:v>Thu</x:v>
      </x:c>
      <x:c r="C266" s="23" t="n">
        <x:v>12</x:v>
      </x:c>
      <x:c r="D266" s="23" t="str">
        <x:v>Regular</x:v>
      </x:c>
      <x:c r="E266" s="23" t="str">
        <x:v>CE 3211</x:v>
      </x:c>
      <x:c r="F266" s="173" t="str">
        <x:v>Structural Analysis and Design - II</x:v>
      </x:c>
      <x:c r="G266" s="23" t="str">
        <x:v>11:30 AM–12:20 PM</x:v>
      </x:c>
      <x:c r="H266" s="23" t="str">
        <x:v>MKI/ATB</x:v>
      </x:c>
      <x:c r="I266" s="23" t="str">
        <x:v>406</x:v>
      </x:c>
      <x:c r="J266" s="23" t="str">
        <x:v>THURS P5</x:v>
      </x:c>
      <x:c r="K266" s="131" t="str"/>
      <x:c r="L266" s="143" t="str"/>
      <x:c r="M266" s="143" t="str"/>
      <x:c r="N266" s="143" t="str"/>
      <x:c r="O266" s="173" t="str"/>
      <x:c r="P266" s="159" t="str">
        <x:f>IF(COUNTIF('Routine &amp; Settings'!$I$5:$I$30,A266)&gt;0,"No",IF(E266="BECM 3204",IF(J266='Routine &amp; Settings'!$B$5,"Yes","No"),IF(E266="BECM 3208",IF(J266='Routine &amp; Settings'!$B$6,"Yes","No"),IF(E266="CE 3224",IF(J266='Routine &amp; Settings'!$B$7,"Yes","No"),IF(E266="BECM 3200",IF('Routine &amp; Settings'!$B$8="Odd Weeks",IF(MOD(C266,2)=1,"Yes","No"),IF(MOD(C266,2)=0,"Yes","No")),"Yes")))))</x:f>
        <x:v>Yes</x:v>
      </x:c>
    </x:row>
    <x:row r="267">
      <x:c r="A267" s="123" t="n">
        <x:v>46359</x:v>
      </x:c>
      <x:c r="B267" s="23" t="str">
        <x:v>Thu</x:v>
      </x:c>
      <x:c r="C267" s="23" t="n">
        <x:v>12</x:v>
      </x:c>
      <x:c r="D267" s="23" t="str">
        <x:v>Regular</x:v>
      </x:c>
      <x:c r="E267" s="23" t="str">
        <x:v>BECM 3201</x:v>
      </x:c>
      <x:c r="F267" s="173" t="str">
        <x:v>Construction and Project Management - II</x:v>
      </x:c>
      <x:c r="G267" s="23" t="str">
        <x:v>12:20 PM–01:10 PM</x:v>
      </x:c>
      <x:c r="H267" s="23" t="str">
        <x:v>MR/MRA</x:v>
      </x:c>
      <x:c r="I267" s="23" t="str">
        <x:v>406</x:v>
      </x:c>
      <x:c r="J267" s="23" t="str">
        <x:v>THURS P6</x:v>
      </x:c>
      <x:c r="K267" s="131" t="str"/>
      <x:c r="L267" s="143" t="str"/>
      <x:c r="M267" s="143" t="str"/>
      <x:c r="N267" s="143" t="str"/>
      <x:c r="O267" s="173" t="str"/>
      <x:c r="P267" s="159" t="str">
        <x:f>IF(COUNTIF('Routine &amp; Settings'!$I$5:$I$30,A267)&gt;0,"No",IF(E267="BECM 3204",IF(J267='Routine &amp; Settings'!$B$5,"Yes","No"),IF(E267="BECM 3208",IF(J267='Routine &amp; Settings'!$B$6,"Yes","No"),IF(E267="CE 3224",IF(J267='Routine &amp; Settings'!$B$7,"Yes","No"),IF(E267="BECM 3200",IF('Routine &amp; Settings'!$B$8="Odd Weeks",IF(MOD(C267,2)=1,"Yes","No"),IF(MOD(C267,2)=0,"Yes","No")),"Yes")))))</x:f>
        <x:v>Yes</x:v>
      </x:c>
    </x:row>
    <x:row r="268">
      <x:c r="A268" s="123" t="n">
        <x:v>46359</x:v>
      </x:c>
      <x:c r="B268" s="23" t="str">
        <x:v>Thu</x:v>
      </x:c>
      <x:c r="C268" s="23" t="n">
        <x:v>12</x:v>
      </x:c>
      <x:c r="D268" s="23" t="str">
        <x:v>Regular</x:v>
      </x:c>
      <x:c r="E268" s="23" t="str">
        <x:v>CE 3224</x:v>
      </x:c>
      <x:c r="F268" s="173" t="str">
        <x:v>Sessional on Soil Mechanics</x:v>
      </x:c>
      <x:c r="G268" s="23" t="str">
        <x:v>02:30 PM–05:00 PM</x:v>
      </x:c>
      <x:c r="H268" s="23" t="str">
        <x:v>MHI/MRA</x:v>
      </x:c>
      <x:c r="I268" s="23" t="str">
        <x:v>405</x:v>
      </x:c>
      <x:c r="J268" s="23" t="str">
        <x:v>Thu PM</x:v>
      </x:c>
      <x:c r="K268" s="131" t="str"/>
      <x:c r="L268" s="143" t="str"/>
      <x:c r="M268" s="143" t="str"/>
      <x:c r="N268" s="143" t="str"/>
      <x:c r="O268" s="173" t="str"/>
      <x:c r="P268" s="159" t="str">
        <x:f>IF(COUNTIF('Routine &amp; Settings'!$I$5:$I$30,A268)&gt;0,"No",IF(E268="BECM 3204",IF(J268='Routine &amp; Settings'!$B$5,"Yes","No"),IF(E268="BECM 3208",IF(J268='Routine &amp; Settings'!$B$6,"Yes","No"),IF(E268="CE 3224",IF(J268='Routine &amp; Settings'!$B$7,"Yes","No"),IF(E268="BECM 3200",IF('Routine &amp; Settings'!$B$8="Odd Weeks",IF(MOD(C268,2)=1,"Yes","No"),IF(MOD(C268,2)=0,"Yes","No")),"Yes")))))</x:f>
        <x:v>No</x:v>
      </x:c>
    </x:row>
    <x:row r="269">
      <x:c r="A269" s="123" t="n">
        <x:v>46362</x:v>
      </x:c>
      <x:c r="B269" s="23" t="str">
        <x:v>Sun</x:v>
      </x:c>
      <x:c r="C269" s="23" t="n">
        <x:v>13</x:v>
      </x:c>
      <x:c r="D269" s="23" t="str">
        <x:v>Regular</x:v>
      </x:c>
      <x:c r="E269" s="23" t="str">
        <x:v>CE 3213</x:v>
      </x:c>
      <x:c r="F269" s="173" t="str">
        <x:v>Reinforced Concrete Structures - II</x:v>
      </x:c>
      <x:c r="G269" s="23" t="str">
        <x:v>10:40 AM–11:30 AM</x:v>
      </x:c>
      <x:c r="H269" s="23" t="str">
        <x:v>HRS</x:v>
      </x:c>
      <x:c r="I269" s="23" t="str">
        <x:v>501</x:v>
      </x:c>
      <x:c r="J269" s="23" t="str">
        <x:v>SUN P4</x:v>
      </x:c>
      <x:c r="K269" s="131" t="str"/>
      <x:c r="L269" s="143" t="str"/>
      <x:c r="M269" s="143" t="str"/>
      <x:c r="N269" s="143" t="str"/>
      <x:c r="O269" s="173" t="str"/>
      <x:c r="P269" s="159" t="str">
        <x:f>IF(COUNTIF('Routine &amp; Settings'!$I$5:$I$30,A269)&gt;0,"No",IF(E269="BECM 3204",IF(J269='Routine &amp; Settings'!$B$5,"Yes","No"),IF(E269="BECM 3208",IF(J269='Routine &amp; Settings'!$B$6,"Yes","No"),IF(E269="CE 3224",IF(J269='Routine &amp; Settings'!$B$7,"Yes","No"),IF(E269="BECM 3200",IF('Routine &amp; Settings'!$B$8="Odd Weeks",IF(MOD(C269,2)=1,"Yes","No"),IF(MOD(C269,2)=0,"Yes","No")),"Yes")))))</x:f>
        <x:v>Yes</x:v>
      </x:c>
    </x:row>
    <x:row r="270">
      <x:c r="A270" s="123" t="n">
        <x:v>46362</x:v>
      </x:c>
      <x:c r="B270" s="23" t="str">
        <x:v>Sun</x:v>
      </x:c>
      <x:c r="C270" s="23" t="n">
        <x:v>13</x:v>
      </x:c>
      <x:c r="D270" s="23" t="str">
        <x:v>Regular</x:v>
      </x:c>
      <x:c r="E270" s="23" t="str">
        <x:v>CE 3223</x:v>
      </x:c>
      <x:c r="F270" s="173" t="str">
        <x:v>Soil Mechanics</x:v>
      </x:c>
      <x:c r="G270" s="23" t="str">
        <x:v>11:30 AM–12:20 PM</x:v>
      </x:c>
      <x:c r="H270" s="23" t="str">
        <x:v>MSA</x:v>
      </x:c>
      <x:c r="I270" s="23" t="str">
        <x:v>501</x:v>
      </x:c>
      <x:c r="J270" s="23" t="str">
        <x:v>SUN P5</x:v>
      </x:c>
      <x:c r="K270" s="131" t="str"/>
      <x:c r="L270" s="143" t="str"/>
      <x:c r="M270" s="143" t="str"/>
      <x:c r="N270" s="143" t="str"/>
      <x:c r="O270" s="173" t="str"/>
      <x:c r="P270" s="159" t="str">
        <x:f>IF(COUNTIF('Routine &amp; Settings'!$I$5:$I$30,A270)&gt;0,"No",IF(E270="BECM 3204",IF(J270='Routine &amp; Settings'!$B$5,"Yes","No"),IF(E270="BECM 3208",IF(J270='Routine &amp; Settings'!$B$6,"Yes","No"),IF(E270="CE 3224",IF(J270='Routine &amp; Settings'!$B$7,"Yes","No"),IF(E270="BECM 3200",IF('Routine &amp; Settings'!$B$8="Odd Weeks",IF(MOD(C270,2)=1,"Yes","No"),IF(MOD(C270,2)=0,"Yes","No")),"Yes")))))</x:f>
        <x:v>Yes</x:v>
      </x:c>
    </x:row>
    <x:row r="271">
      <x:c r="A271" s="123" t="n">
        <x:v>46362</x:v>
      </x:c>
      <x:c r="B271" s="23" t="str">
        <x:v>Sun</x:v>
      </x:c>
      <x:c r="C271" s="23" t="n">
        <x:v>13</x:v>
      </x:c>
      <x:c r="D271" s="23" t="str">
        <x:v>Regular</x:v>
      </x:c>
      <x:c r="E271" s="23" t="str">
        <x:v>CE 3211</x:v>
      </x:c>
      <x:c r="F271" s="173" t="str">
        <x:v>Structural Analysis and Design - II</x:v>
      </x:c>
      <x:c r="G271" s="23" t="str">
        <x:v>12:20 PM–01:10 PM</x:v>
      </x:c>
      <x:c r="H271" s="23" t="str">
        <x:v>MKI</x:v>
      </x:c>
      <x:c r="I271" s="23" t="str">
        <x:v>501</x:v>
      </x:c>
      <x:c r="J271" s="23" t="str">
        <x:v>SUN P6</x:v>
      </x:c>
      <x:c r="K271" s="131" t="str"/>
      <x:c r="L271" s="143" t="str"/>
      <x:c r="M271" s="143" t="str"/>
      <x:c r="N271" s="143" t="str"/>
      <x:c r="O271" s="173" t="str"/>
      <x:c r="P271" s="159" t="str">
        <x:f>IF(COUNTIF('Routine &amp; Settings'!$I$5:$I$30,A271)&gt;0,"No",IF(E271="BECM 3204",IF(J271='Routine &amp; Settings'!$B$5,"Yes","No"),IF(E271="BECM 3208",IF(J271='Routine &amp; Settings'!$B$6,"Yes","No"),IF(E271="CE 3224",IF(J271='Routine &amp; Settings'!$B$7,"Yes","No"),IF(E271="BECM 3200",IF('Routine &amp; Settings'!$B$8="Odd Weeks",IF(MOD(C271,2)=1,"Yes","No"),IF(MOD(C271,2)=0,"Yes","No")),"Yes")))))</x:f>
        <x:v>Yes</x:v>
      </x:c>
    </x:row>
    <x:row r="272">
      <x:c r="A272" s="123" t="n">
        <x:v>46362</x:v>
      </x:c>
      <x:c r="B272" s="23" t="str">
        <x:v>Sun</x:v>
      </x:c>
      <x:c r="C272" s="23" t="n">
        <x:v>13</x:v>
      </x:c>
      <x:c r="D272" s="23" t="str">
        <x:v>Regular</x:v>
      </x:c>
      <x:c r="E272" s="23" t="str">
        <x:v>BECM 3204</x:v>
      </x:c>
      <x:c r="F272" s="173" t="str">
        <x:v>Construction Techniques and Equipments - II</x:v>
      </x:c>
      <x:c r="G272" s="23" t="str">
        <x:v>02:30 PM–05:00 PM</x:v>
      </x:c>
      <x:c r="H272" s="23" t="str">
        <x:v>HRS/MR</x:v>
      </x:c>
      <x:c r="I272" s="23" t="str">
        <x:v>404</x:v>
      </x:c>
      <x:c r="J272" s="23" t="str">
        <x:v>Sun PM</x:v>
      </x:c>
      <x:c r="K272" s="131" t="str"/>
      <x:c r="L272" s="143" t="str"/>
      <x:c r="M272" s="143" t="str"/>
      <x:c r="N272" s="143" t="str"/>
      <x:c r="O272" s="173" t="str"/>
      <x:c r="P272" s="159" t="str">
        <x:f>IF(COUNTIF('Routine &amp; Settings'!$I$5:$I$30,A272)&gt;0,"No",IF(E272="BECM 3204",IF(J272='Routine &amp; Settings'!$B$5,"Yes","No"),IF(E272="BECM 3208",IF(J272='Routine &amp; Settings'!$B$6,"Yes","No"),IF(E272="CE 3224",IF(J272='Routine &amp; Settings'!$B$7,"Yes","No"),IF(E272="BECM 3200",IF('Routine &amp; Settings'!$B$8="Odd Weeks",IF(MOD(C272,2)=1,"Yes","No"),IF(MOD(C272,2)=0,"Yes","No")),"Yes")))))</x:f>
        <x:v>Yes</x:v>
      </x:c>
    </x:row>
    <x:row r="273">
      <x:c r="A273" s="123" t="n">
        <x:v>46363</x:v>
      </x:c>
      <x:c r="B273" s="23" t="str">
        <x:v>Mon</x:v>
      </x:c>
      <x:c r="C273" s="23" t="n">
        <x:v>13</x:v>
      </x:c>
      <x:c r="D273" s="23" t="str">
        <x:v>Regular</x:v>
      </x:c>
      <x:c r="E273" s="23" t="str">
        <x:v>CE 3223</x:v>
      </x:c>
      <x:c r="F273" s="173" t="str">
        <x:v>Soil Mechanics</x:v>
      </x:c>
      <x:c r="G273" s="23" t="str">
        <x:v>09:40 AM–10:30 AM</x:v>
      </x:c>
      <x:c r="H273" s="23" t="str">
        <x:v>MHI/MSA</x:v>
      </x:c>
      <x:c r="I273" s="23" t="str">
        <x:v>404</x:v>
      </x:c>
      <x:c r="J273" s="23" t="str">
        <x:v>MON P3</x:v>
      </x:c>
      <x:c r="K273" s="131" t="str"/>
      <x:c r="L273" s="143" t="str"/>
      <x:c r="M273" s="143" t="str"/>
      <x:c r="N273" s="143" t="str"/>
      <x:c r="O273" s="173" t="str"/>
      <x:c r="P273" s="159" t="str">
        <x:f>IF(COUNTIF('Routine &amp; Settings'!$I$5:$I$30,A273)&gt;0,"No",IF(E273="BECM 3204",IF(J273='Routine &amp; Settings'!$B$5,"Yes","No"),IF(E273="BECM 3208",IF(J273='Routine &amp; Settings'!$B$6,"Yes","No"),IF(E273="CE 3224",IF(J273='Routine &amp; Settings'!$B$7,"Yes","No"),IF(E273="BECM 3200",IF('Routine &amp; Settings'!$B$8="Odd Weeks",IF(MOD(C273,2)=1,"Yes","No"),IF(MOD(C273,2)=0,"Yes","No")),"Yes")))))</x:f>
        <x:v>Yes</x:v>
      </x:c>
    </x:row>
    <x:row r="274">
      <x:c r="A274" s="123" t="n">
        <x:v>46363</x:v>
      </x:c>
      <x:c r="B274" s="23" t="str">
        <x:v>Mon</x:v>
      </x:c>
      <x:c r="C274" s="23" t="n">
        <x:v>13</x:v>
      </x:c>
      <x:c r="D274" s="23" t="str">
        <x:v>Regular</x:v>
      </x:c>
      <x:c r="E274" s="23" t="str">
        <x:v>BECM 3201</x:v>
      </x:c>
      <x:c r="F274" s="173" t="str">
        <x:v>Construction and Project Management - II</x:v>
      </x:c>
      <x:c r="G274" s="23" t="str">
        <x:v>11:30 AM–12:20 PM</x:v>
      </x:c>
      <x:c r="H274" s="23" t="str">
        <x:v>MR</x:v>
      </x:c>
      <x:c r="I274" s="23" t="str">
        <x:v>405</x:v>
      </x:c>
      <x:c r="J274" s="23" t="str">
        <x:v>MON P5</x:v>
      </x:c>
      <x:c r="K274" s="131" t="str"/>
      <x:c r="L274" s="143" t="str"/>
      <x:c r="M274" s="143" t="str"/>
      <x:c r="N274" s="143" t="str"/>
      <x:c r="O274" s="173" t="str"/>
      <x:c r="P274" s="159" t="str">
        <x:f>IF(COUNTIF('Routine &amp; Settings'!$I$5:$I$30,A274)&gt;0,"No",IF(E274="BECM 3204",IF(J274='Routine &amp; Settings'!$B$5,"Yes","No"),IF(E274="BECM 3208",IF(J274='Routine &amp; Settings'!$B$6,"Yes","No"),IF(E274="CE 3224",IF(J274='Routine &amp; Settings'!$B$7,"Yes","No"),IF(E274="BECM 3200",IF('Routine &amp; Settings'!$B$8="Odd Weeks",IF(MOD(C274,2)=1,"Yes","No"),IF(MOD(C274,2)=0,"Yes","No")),"Yes")))))</x:f>
        <x:v>Yes</x:v>
      </x:c>
    </x:row>
    <x:row r="275">
      <x:c r="A275" s="123" t="n">
        <x:v>46363</x:v>
      </x:c>
      <x:c r="B275" s="23" t="str">
        <x:v>Mon</x:v>
      </x:c>
      <x:c r="C275" s="23" t="n">
        <x:v>13</x:v>
      </x:c>
      <x:c r="D275" s="23" t="str">
        <x:v>Regular</x:v>
      </x:c>
      <x:c r="E275" s="23" t="str">
        <x:v>BECM 3205</x:v>
      </x:c>
      <x:c r="F275" s="173" t="str">
        <x:v>Acoustics and Lighting</x:v>
      </x:c>
      <x:c r="G275" s="23" t="str">
        <x:v>12:20 PM–01:10 PM</x:v>
      </x:c>
      <x:c r="H275" s="23" t="str">
        <x:v>AAM</x:v>
      </x:c>
      <x:c r="I275" s="23" t="str">
        <x:v>405</x:v>
      </x:c>
      <x:c r="J275" s="23" t="str">
        <x:v>MON P6</x:v>
      </x:c>
      <x:c r="K275" s="131" t="str"/>
      <x:c r="L275" s="143" t="str"/>
      <x:c r="M275" s="143" t="str"/>
      <x:c r="N275" s="143" t="str"/>
      <x:c r="O275" s="173" t="str"/>
      <x:c r="P275" s="159" t="str">
        <x:f>IF(COUNTIF('Routine &amp; Settings'!$I$5:$I$30,A275)&gt;0,"No",IF(E275="BECM 3204",IF(J275='Routine &amp; Settings'!$B$5,"Yes","No"),IF(E275="BECM 3208",IF(J275='Routine &amp; Settings'!$B$6,"Yes","No"),IF(E275="CE 3224",IF(J275='Routine &amp; Settings'!$B$7,"Yes","No"),IF(E275="BECM 3200",IF('Routine &amp; Settings'!$B$8="Odd Weeks",IF(MOD(C275,2)=1,"Yes","No"),IF(MOD(C275,2)=0,"Yes","No")),"Yes")))))</x:f>
        <x:v>Yes</x:v>
      </x:c>
    </x:row>
    <x:row r="276">
      <x:c r="A276" s="123" t="n">
        <x:v>46363</x:v>
      </x:c>
      <x:c r="B276" s="23" t="str">
        <x:v>Mon</x:v>
      </x:c>
      <x:c r="C276" s="23" t="n">
        <x:v>13</x:v>
      </x:c>
      <x:c r="D276" s="23" t="str">
        <x:v>Regular</x:v>
      </x:c>
      <x:c r="E276" s="23" t="str">
        <x:v>BECM 3200</x:v>
      </x:c>
      <x:c r="F276" s="173" t="str">
        <x:v>Project and Seminar</x:v>
      </x:c>
      <x:c r="G276" s="23" t="str">
        <x:v>02:30 PM–05:00 PM</x:v>
      </x:c>
      <x:c r="H276" s="23" t="str">
        <x:v>ALL</x:v>
      </x:c>
      <x:c r="I276" s="23" t="str"/>
      <x:c r="J276" s="23" t="str">
        <x:v>Mon PM</x:v>
      </x:c>
      <x:c r="K276" s="131" t="str"/>
      <x:c r="L276" s="143" t="str"/>
      <x:c r="M276" s="143" t="str"/>
      <x:c r="N276" s="143" t="str"/>
      <x:c r="O276" s="173" t="str"/>
      <x:c r="P276" s="159" t="str">
        <x:f>IF(COUNTIF('Routine &amp; Settings'!$I$5:$I$30,A276)&gt;0,"No",IF(E276="BECM 3204",IF(J276='Routine &amp; Settings'!$B$5,"Yes","No"),IF(E276="BECM 3208",IF(J276='Routine &amp; Settings'!$B$6,"Yes","No"),IF(E276="CE 3224",IF(J276='Routine &amp; Settings'!$B$7,"Yes","No"),IF(E276="BECM 3200",IF('Routine &amp; Settings'!$B$8="Odd Weeks",IF(MOD(C276,2)=1,"Yes","No"),IF(MOD(C276,2)=0,"Yes","No")),"Yes")))))</x:f>
        <x:v>Yes</x:v>
      </x:c>
    </x:row>
    <x:row r="277">
      <x:c r="A277" s="123" t="n">
        <x:v>46364</x:v>
      </x:c>
      <x:c r="B277" s="23" t="str">
        <x:v>Tue</x:v>
      </x:c>
      <x:c r="C277" s="23" t="n">
        <x:v>13</x:v>
      </x:c>
      <x:c r="D277" s="23" t="str">
        <x:v>Regular</x:v>
      </x:c>
      <x:c r="E277" s="23" t="str">
        <x:v>CE 3224</x:v>
      </x:c>
      <x:c r="F277" s="173" t="str">
        <x:v>Sessional on Soil Mechanics</x:v>
      </x:c>
      <x:c r="G277" s="23" t="str">
        <x:v>08:00 AM–10:30 AM</x:v>
      </x:c>
      <x:c r="H277" s="23" t="str">
        <x:v>MHI/MRA</x:v>
      </x:c>
      <x:c r="I277" s="23" t="str"/>
      <x:c r="J277" s="23" t="str">
        <x:v>Tue AM</x:v>
      </x:c>
      <x:c r="K277" s="131" t="str"/>
      <x:c r="L277" s="143" t="str"/>
      <x:c r="M277" s="143" t="str"/>
      <x:c r="N277" s="143" t="str"/>
      <x:c r="O277" s="173" t="str"/>
      <x:c r="P277" s="159" t="str">
        <x:f>IF(COUNTIF('Routine &amp; Settings'!$I$5:$I$30,A277)&gt;0,"No",IF(E277="BECM 3204",IF(J277='Routine &amp; Settings'!$B$5,"Yes","No"),IF(E277="BECM 3208",IF(J277='Routine &amp; Settings'!$B$6,"Yes","No"),IF(E277="CE 3224",IF(J277='Routine &amp; Settings'!$B$7,"Yes","No"),IF(E277="BECM 3200",IF('Routine &amp; Settings'!$B$8="Odd Weeks",IF(MOD(C277,2)=1,"Yes","No"),IF(MOD(C277,2)=0,"Yes","No")),"Yes")))))</x:f>
        <x:v>Yes</x:v>
      </x:c>
    </x:row>
    <x:row r="278">
      <x:c r="A278" s="123" t="n">
        <x:v>46364</x:v>
      </x:c>
      <x:c r="B278" s="23" t="str">
        <x:v>Tue</x:v>
      </x:c>
      <x:c r="C278" s="23" t="n">
        <x:v>13</x:v>
      </x:c>
      <x:c r="D278" s="23" t="str">
        <x:v>Regular</x:v>
      </x:c>
      <x:c r="E278" s="23" t="str">
        <x:v>CE 3213</x:v>
      </x:c>
      <x:c r="F278" s="173" t="str">
        <x:v>Reinforced Concrete Structures - II</x:v>
      </x:c>
      <x:c r="G278" s="23" t="str">
        <x:v>11:30 AM–12:20 PM</x:v>
      </x:c>
      <x:c r="H278" s="23" t="str">
        <x:v>MKI</x:v>
      </x:c>
      <x:c r="I278" s="23" t="str">
        <x:v>405</x:v>
      </x:c>
      <x:c r="J278" s="23" t="str">
        <x:v>TUES P5</x:v>
      </x:c>
      <x:c r="K278" s="131" t="str"/>
      <x:c r="L278" s="143" t="str"/>
      <x:c r="M278" s="143" t="str"/>
      <x:c r="N278" s="143" t="str"/>
      <x:c r="O278" s="173" t="str"/>
      <x:c r="P278" s="159" t="str">
        <x:f>IF(COUNTIF('Routine &amp; Settings'!$I$5:$I$30,A278)&gt;0,"No",IF(E278="BECM 3204",IF(J278='Routine &amp; Settings'!$B$5,"Yes","No"),IF(E278="BECM 3208",IF(J278='Routine &amp; Settings'!$B$6,"Yes","No"),IF(E278="CE 3224",IF(J278='Routine &amp; Settings'!$B$7,"Yes","No"),IF(E278="BECM 3200",IF('Routine &amp; Settings'!$B$8="Odd Weeks",IF(MOD(C278,2)=1,"Yes","No"),IF(MOD(C278,2)=0,"Yes","No")),"Yes")))))</x:f>
        <x:v>Yes</x:v>
      </x:c>
    </x:row>
    <x:row r="279">
      <x:c r="A279" s="123" t="n">
        <x:v>46364</x:v>
      </x:c>
      <x:c r="B279" s="23" t="str">
        <x:v>Tue</x:v>
      </x:c>
      <x:c r="C279" s="23" t="n">
        <x:v>13</x:v>
      </x:c>
      <x:c r="D279" s="23" t="str">
        <x:v>Regular</x:v>
      </x:c>
      <x:c r="E279" s="23" t="str">
        <x:v>BECM 3201</x:v>
      </x:c>
      <x:c r="F279" s="173" t="str">
        <x:v>Construction and Project Management - II</x:v>
      </x:c>
      <x:c r="G279" s="23" t="str">
        <x:v>12:20 PM–01:10 PM</x:v>
      </x:c>
      <x:c r="H279" s="23" t="str">
        <x:v>MRA</x:v>
      </x:c>
      <x:c r="I279" s="23" t="str">
        <x:v>405</x:v>
      </x:c>
      <x:c r="J279" s="23" t="str">
        <x:v>TUES P6</x:v>
      </x:c>
      <x:c r="K279" s="131" t="str"/>
      <x:c r="L279" s="143" t="str"/>
      <x:c r="M279" s="143" t="str"/>
      <x:c r="N279" s="143" t="str"/>
      <x:c r="O279" s="173" t="str"/>
      <x:c r="P279" s="159" t="str">
        <x:f>IF(COUNTIF('Routine &amp; Settings'!$I$5:$I$30,A279)&gt;0,"No",IF(E279="BECM 3204",IF(J279='Routine &amp; Settings'!$B$5,"Yes","No"),IF(E279="BECM 3208",IF(J279='Routine &amp; Settings'!$B$6,"Yes","No"),IF(E279="CE 3224",IF(J279='Routine &amp; Settings'!$B$7,"Yes","No"),IF(E279="BECM 3200",IF('Routine &amp; Settings'!$B$8="Odd Weeks",IF(MOD(C279,2)=1,"Yes","No"),IF(MOD(C279,2)=0,"Yes","No")),"Yes")))))</x:f>
        <x:v>Yes</x:v>
      </x:c>
    </x:row>
    <x:row r="280">
      <x:c r="A280" s="123" t="n">
        <x:v>46364</x:v>
      </x:c>
      <x:c r="B280" s="23" t="str">
        <x:v>Tue</x:v>
      </x:c>
      <x:c r="C280" s="23" t="n">
        <x:v>13</x:v>
      </x:c>
      <x:c r="D280" s="23" t="str">
        <x:v>Regular</x:v>
      </x:c>
      <x:c r="E280" s="23" t="str">
        <x:v>BECM 3208</x:v>
      </x:c>
      <x:c r="F280" s="173" t="str">
        <x:v>Landscape Design</x:v>
      </x:c>
      <x:c r="G280" s="23" t="str">
        <x:v>02:30 PM–05:00 PM</x:v>
      </x:c>
      <x:c r="H280" s="23" t="str">
        <x:v>MSH/MSA</x:v>
      </x:c>
      <x:c r="I280" s="23" t="str"/>
      <x:c r="J280" s="23" t="str">
        <x:v>Tue PM</x:v>
      </x:c>
      <x:c r="K280" s="131" t="str"/>
      <x:c r="L280" s="143" t="str"/>
      <x:c r="M280" s="143" t="str"/>
      <x:c r="N280" s="143" t="str"/>
      <x:c r="O280" s="173" t="str"/>
      <x:c r="P280" s="159" t="str">
        <x:f>IF(COUNTIF('Routine &amp; Settings'!$I$5:$I$30,A280)&gt;0,"No",IF(E280="BECM 3204",IF(J280='Routine &amp; Settings'!$B$5,"Yes","No"),IF(E280="BECM 3208",IF(J280='Routine &amp; Settings'!$B$6,"Yes","No"),IF(E280="CE 3224",IF(J280='Routine &amp; Settings'!$B$7,"Yes","No"),IF(E280="BECM 3200",IF('Routine &amp; Settings'!$B$8="Odd Weeks",IF(MOD(C280,2)=1,"Yes","No"),IF(MOD(C280,2)=0,"Yes","No")),"Yes")))))</x:f>
        <x:v>Yes</x:v>
      </x:c>
    </x:row>
    <x:row r="281">
      <x:c r="A281" s="123" t="n">
        <x:v>46365</x:v>
      </x:c>
      <x:c r="B281" s="23" t="str">
        <x:v>Wed</x:v>
      </x:c>
      <x:c r="C281" s="23" t="n">
        <x:v>13</x:v>
      </x:c>
      <x:c r="D281" s="23" t="str">
        <x:v>Regular</x:v>
      </x:c>
      <x:c r="E281" s="23" t="str">
        <x:v>CE 3213</x:v>
      </x:c>
      <x:c r="F281" s="173" t="str">
        <x:v>Reinforced Concrete Structures - II</x:v>
      </x:c>
      <x:c r="G281" s="23" t="str">
        <x:v>09:40 AM–10:30 AM</x:v>
      </x:c>
      <x:c r="H281" s="23" t="str">
        <x:v>HRS/MKI</x:v>
      </x:c>
      <x:c r="I281" s="23" t="str">
        <x:v>501</x:v>
      </x:c>
      <x:c r="J281" s="23" t="str">
        <x:v>WED P3</x:v>
      </x:c>
      <x:c r="K281" s="131" t="str"/>
      <x:c r="L281" s="143" t="str"/>
      <x:c r="M281" s="143" t="str"/>
      <x:c r="N281" s="143" t="str"/>
      <x:c r="O281" s="173" t="str"/>
      <x:c r="P281" s="159" t="str">
        <x:f>IF(COUNTIF('Routine &amp; Settings'!$I$5:$I$30,A281)&gt;0,"No",IF(E281="BECM 3204",IF(J281='Routine &amp; Settings'!$B$5,"Yes","No"),IF(E281="BECM 3208",IF(J281='Routine &amp; Settings'!$B$6,"Yes","No"),IF(E281="CE 3224",IF(J281='Routine &amp; Settings'!$B$7,"Yes","No"),IF(E281="BECM 3200",IF('Routine &amp; Settings'!$B$8="Odd Weeks",IF(MOD(C281,2)=1,"Yes","No"),IF(MOD(C281,2)=0,"Yes","No")),"Yes")))))</x:f>
        <x:v>Yes</x:v>
      </x:c>
    </x:row>
    <x:row r="282">
      <x:c r="A282" s="123" t="n">
        <x:v>46365</x:v>
      </x:c>
      <x:c r="B282" s="23" t="str">
        <x:v>Wed</x:v>
      </x:c>
      <x:c r="C282" s="23" t="n">
        <x:v>13</x:v>
      </x:c>
      <x:c r="D282" s="23" t="str">
        <x:v>Regular</x:v>
      </x:c>
      <x:c r="E282" s="23" t="str">
        <x:v>CE 3211</x:v>
      </x:c>
      <x:c r="F282" s="173" t="str">
        <x:v>Structural Analysis and Design - II</x:v>
      </x:c>
      <x:c r="G282" s="23" t="str">
        <x:v>10:40 AM–11:30 AM</x:v>
      </x:c>
      <x:c r="H282" s="23" t="str">
        <x:v>ATB</x:v>
      </x:c>
      <x:c r="I282" s="23" t="str">
        <x:v>501</x:v>
      </x:c>
      <x:c r="J282" s="23" t="str">
        <x:v>WED P4</x:v>
      </x:c>
      <x:c r="K282" s="131" t="str"/>
      <x:c r="L282" s="143" t="str"/>
      <x:c r="M282" s="143" t="str"/>
      <x:c r="N282" s="143" t="str"/>
      <x:c r="O282" s="173" t="str"/>
      <x:c r="P282" s="159" t="str">
        <x:f>IF(COUNTIF('Routine &amp; Settings'!$I$5:$I$30,A282)&gt;0,"No",IF(E282="BECM 3204",IF(J282='Routine &amp; Settings'!$B$5,"Yes","No"),IF(E282="BECM 3208",IF(J282='Routine &amp; Settings'!$B$6,"Yes","No"),IF(E282="CE 3224",IF(J282='Routine &amp; Settings'!$B$7,"Yes","No"),IF(E282="BECM 3200",IF('Routine &amp; Settings'!$B$8="Odd Weeks",IF(MOD(C282,2)=1,"Yes","No"),IF(MOD(C282,2)=0,"Yes","No")),"Yes")))))</x:f>
        <x:v>Yes</x:v>
      </x:c>
    </x:row>
    <x:row r="283">
      <x:c r="A283" s="123" t="n">
        <x:v>46365</x:v>
      </x:c>
      <x:c r="B283" s="23" t="str">
        <x:v>Wed</x:v>
      </x:c>
      <x:c r="C283" s="23" t="n">
        <x:v>13</x:v>
      </x:c>
      <x:c r="D283" s="23" t="str">
        <x:v>Regular</x:v>
      </x:c>
      <x:c r="E283" s="23" t="str">
        <x:v>CE 3223</x:v>
      </x:c>
      <x:c r="F283" s="173" t="str">
        <x:v>Soil Mechanics</x:v>
      </x:c>
      <x:c r="G283" s="23" t="str">
        <x:v>11:30 AM–12:20 PM</x:v>
      </x:c>
      <x:c r="H283" s="23" t="str">
        <x:v>MHI</x:v>
      </x:c>
      <x:c r="I283" s="23" t="str">
        <x:v>501</x:v>
      </x:c>
      <x:c r="J283" s="23" t="str">
        <x:v>WED P5</x:v>
      </x:c>
      <x:c r="K283" s="131" t="str"/>
      <x:c r="L283" s="143" t="str"/>
      <x:c r="M283" s="143" t="str"/>
      <x:c r="N283" s="143" t="str"/>
      <x:c r="O283" s="173" t="str"/>
      <x:c r="P283" s="159" t="str">
        <x:f>IF(COUNTIF('Routine &amp; Settings'!$I$5:$I$30,A283)&gt;0,"No",IF(E283="BECM 3204",IF(J283='Routine &amp; Settings'!$B$5,"Yes","No"),IF(E283="BECM 3208",IF(J283='Routine &amp; Settings'!$B$6,"Yes","No"),IF(E283="CE 3224",IF(J283='Routine &amp; Settings'!$B$7,"Yes","No"),IF(E283="BECM 3200",IF('Routine &amp; Settings'!$B$8="Odd Weeks",IF(MOD(C283,2)=1,"Yes","No"),IF(MOD(C283,2)=0,"Yes","No")),"Yes")))))</x:f>
        <x:v>Yes</x:v>
      </x:c>
    </x:row>
    <x:row r="284">
      <x:c r="A284" s="123" t="n">
        <x:v>46365</x:v>
      </x:c>
      <x:c r="B284" s="23" t="str">
        <x:v>Wed</x:v>
      </x:c>
      <x:c r="C284" s="23" t="n">
        <x:v>13</x:v>
      </x:c>
      <x:c r="D284" s="23" t="str">
        <x:v>Regular</x:v>
      </x:c>
      <x:c r="E284" s="23" t="str">
        <x:v>BECM 3205</x:v>
      </x:c>
      <x:c r="F284" s="173" t="str">
        <x:v>Acoustics and Lighting</x:v>
      </x:c>
      <x:c r="G284" s="23" t="str">
        <x:v>12:20 PM–01:10 PM</x:v>
      </x:c>
      <x:c r="H284" s="23" t="str">
        <x:v>MSH/AAM</x:v>
      </x:c>
      <x:c r="I284" s="23" t="str">
        <x:v>501</x:v>
      </x:c>
      <x:c r="J284" s="23" t="str">
        <x:v>WED P6</x:v>
      </x:c>
      <x:c r="K284" s="131" t="str"/>
      <x:c r="L284" s="143" t="str"/>
      <x:c r="M284" s="143" t="str"/>
      <x:c r="N284" s="143" t="str"/>
      <x:c r="O284" s="173" t="str"/>
      <x:c r="P284" s="159" t="str">
        <x:f>IF(COUNTIF('Routine &amp; Settings'!$I$5:$I$30,A284)&gt;0,"No",IF(E284="BECM 3204",IF(J284='Routine &amp; Settings'!$B$5,"Yes","No"),IF(E284="BECM 3208",IF(J284='Routine &amp; Settings'!$B$6,"Yes","No"),IF(E284="CE 3224",IF(J284='Routine &amp; Settings'!$B$7,"Yes","No"),IF(E284="BECM 3200",IF('Routine &amp; Settings'!$B$8="Odd Weeks",IF(MOD(C284,2)=1,"Yes","No"),IF(MOD(C284,2)=0,"Yes","No")),"Yes")))))</x:f>
        <x:v>Yes</x:v>
      </x:c>
    </x:row>
    <x:row r="285">
      <x:c r="A285" s="123" t="n">
        <x:v>46365</x:v>
      </x:c>
      <x:c r="B285" s="23" t="str">
        <x:v>Wed</x:v>
      </x:c>
      <x:c r="C285" s="23" t="n">
        <x:v>13</x:v>
      </x:c>
      <x:c r="D285" s="23" t="str">
        <x:v>Regular</x:v>
      </x:c>
      <x:c r="E285" s="23" t="str">
        <x:v>BECM 3208</x:v>
      </x:c>
      <x:c r="F285" s="173" t="str">
        <x:v>Landscape Design</x:v>
      </x:c>
      <x:c r="G285" s="23" t="str">
        <x:v>02:30 PM–05:00 PM</x:v>
      </x:c>
      <x:c r="H285" s="23" t="str">
        <x:v>MSH/MSA</x:v>
      </x:c>
      <x:c r="I285" s="23" t="str">
        <x:v>501</x:v>
      </x:c>
      <x:c r="J285" s="23" t="str">
        <x:v>Wed PM</x:v>
      </x:c>
      <x:c r="K285" s="131" t="str"/>
      <x:c r="L285" s="143" t="str"/>
      <x:c r="M285" s="143" t="str"/>
      <x:c r="N285" s="143" t="str"/>
      <x:c r="O285" s="173" t="str"/>
      <x:c r="P285" s="159" t="str">
        <x:f>IF(COUNTIF('Routine &amp; Settings'!$I$5:$I$30,A285)&gt;0,"No",IF(E285="BECM 3204",IF(J285='Routine &amp; Settings'!$B$5,"Yes","No"),IF(E285="BECM 3208",IF(J285='Routine &amp; Settings'!$B$6,"Yes","No"),IF(E285="CE 3224",IF(J285='Routine &amp; Settings'!$B$7,"Yes","No"),IF(E285="BECM 3200",IF('Routine &amp; Settings'!$B$8="Odd Weeks",IF(MOD(C285,2)=1,"Yes","No"),IF(MOD(C285,2)=0,"Yes","No")),"Yes")))))</x:f>
        <x:v>No</x:v>
      </x:c>
    </x:row>
    <x:row r="286">
      <x:c r="A286" s="123" t="n">
        <x:v>46366</x:v>
      </x:c>
      <x:c r="B286" s="23" t="str">
        <x:v>Thu</x:v>
      </x:c>
      <x:c r="C286" s="23" t="n">
        <x:v>13</x:v>
      </x:c>
      <x:c r="D286" s="23" t="str">
        <x:v>Regular</x:v>
      </x:c>
      <x:c r="E286" s="23" t="str">
        <x:v>BECM 3204</x:v>
      </x:c>
      <x:c r="F286" s="173" t="str">
        <x:v>Construction Techniques and Equipments - II</x:v>
      </x:c>
      <x:c r="G286" s="23" t="str">
        <x:v>08:00 AM–10:30 AM</x:v>
      </x:c>
      <x:c r="H286" s="23" t="str">
        <x:v>HRS/MR</x:v>
      </x:c>
      <x:c r="I286" s="23" t="str"/>
      <x:c r="J286" s="23" t="str">
        <x:v>Thu AM</x:v>
      </x:c>
      <x:c r="K286" s="131" t="str"/>
      <x:c r="L286" s="143" t="str"/>
      <x:c r="M286" s="143" t="str"/>
      <x:c r="N286" s="143" t="str"/>
      <x:c r="O286" s="173" t="str"/>
      <x:c r="P286" s="159" t="str">
        <x:f>IF(COUNTIF('Routine &amp; Settings'!$I$5:$I$30,A286)&gt;0,"No",IF(E286="BECM 3204",IF(J286='Routine &amp; Settings'!$B$5,"Yes","No"),IF(E286="BECM 3208",IF(J286='Routine &amp; Settings'!$B$6,"Yes","No"),IF(E286="CE 3224",IF(J286='Routine &amp; Settings'!$B$7,"Yes","No"),IF(E286="BECM 3200",IF('Routine &amp; Settings'!$B$8="Odd Weeks",IF(MOD(C286,2)=1,"Yes","No"),IF(MOD(C286,2)=0,"Yes","No")),"Yes")))))</x:f>
        <x:v>No</x:v>
      </x:c>
    </x:row>
    <x:row r="287">
      <x:c r="A287" s="123" t="n">
        <x:v>46366</x:v>
      </x:c>
      <x:c r="B287" s="23" t="str">
        <x:v>Thu</x:v>
      </x:c>
      <x:c r="C287" s="23" t="n">
        <x:v>13</x:v>
      </x:c>
      <x:c r="D287" s="23" t="str">
        <x:v>Regular</x:v>
      </x:c>
      <x:c r="E287" s="23" t="str">
        <x:v>BECM 3205</x:v>
      </x:c>
      <x:c r="F287" s="173" t="str">
        <x:v>Acoustics and Lighting</x:v>
      </x:c>
      <x:c r="G287" s="23" t="str">
        <x:v>10:40 AM–11:30 AM</x:v>
      </x:c>
      <x:c r="H287" s="23" t="str">
        <x:v>MSH</x:v>
      </x:c>
      <x:c r="I287" s="23" t="str">
        <x:v>406</x:v>
      </x:c>
      <x:c r="J287" s="23" t="str">
        <x:v>THURS P4</x:v>
      </x:c>
      <x:c r="K287" s="131" t="str"/>
      <x:c r="L287" s="143" t="str"/>
      <x:c r="M287" s="143" t="str"/>
      <x:c r="N287" s="143" t="str"/>
      <x:c r="O287" s="173" t="str"/>
      <x:c r="P287" s="159" t="str">
        <x:f>IF(COUNTIF('Routine &amp; Settings'!$I$5:$I$30,A287)&gt;0,"No",IF(E287="BECM 3204",IF(J287='Routine &amp; Settings'!$B$5,"Yes","No"),IF(E287="BECM 3208",IF(J287='Routine &amp; Settings'!$B$6,"Yes","No"),IF(E287="CE 3224",IF(J287='Routine &amp; Settings'!$B$7,"Yes","No"),IF(E287="BECM 3200",IF('Routine &amp; Settings'!$B$8="Odd Weeks",IF(MOD(C287,2)=1,"Yes","No"),IF(MOD(C287,2)=0,"Yes","No")),"Yes")))))</x:f>
        <x:v>Yes</x:v>
      </x:c>
    </x:row>
    <x:row r="288">
      <x:c r="A288" s="123" t="n">
        <x:v>46366</x:v>
      </x:c>
      <x:c r="B288" s="23" t="str">
        <x:v>Thu</x:v>
      </x:c>
      <x:c r="C288" s="23" t="n">
        <x:v>13</x:v>
      </x:c>
      <x:c r="D288" s="23" t="str">
        <x:v>Regular</x:v>
      </x:c>
      <x:c r="E288" s="23" t="str">
        <x:v>CE 3211</x:v>
      </x:c>
      <x:c r="F288" s="173" t="str">
        <x:v>Structural Analysis and Design - II</x:v>
      </x:c>
      <x:c r="G288" s="23" t="str">
        <x:v>11:30 AM–12:20 PM</x:v>
      </x:c>
      <x:c r="H288" s="23" t="str">
        <x:v>MKI/ATB</x:v>
      </x:c>
      <x:c r="I288" s="23" t="str">
        <x:v>406</x:v>
      </x:c>
      <x:c r="J288" s="23" t="str">
        <x:v>THURS P5</x:v>
      </x:c>
      <x:c r="K288" s="131" t="str"/>
      <x:c r="L288" s="143" t="str"/>
      <x:c r="M288" s="143" t="str"/>
      <x:c r="N288" s="143" t="str"/>
      <x:c r="O288" s="173" t="str"/>
      <x:c r="P288" s="159" t="str">
        <x:f>IF(COUNTIF('Routine &amp; Settings'!$I$5:$I$30,A288)&gt;0,"No",IF(E288="BECM 3204",IF(J288='Routine &amp; Settings'!$B$5,"Yes","No"),IF(E288="BECM 3208",IF(J288='Routine &amp; Settings'!$B$6,"Yes","No"),IF(E288="CE 3224",IF(J288='Routine &amp; Settings'!$B$7,"Yes","No"),IF(E288="BECM 3200",IF('Routine &amp; Settings'!$B$8="Odd Weeks",IF(MOD(C288,2)=1,"Yes","No"),IF(MOD(C288,2)=0,"Yes","No")),"Yes")))))</x:f>
        <x:v>Yes</x:v>
      </x:c>
    </x:row>
    <x:row r="289">
      <x:c r="A289" s="123" t="n">
        <x:v>46366</x:v>
      </x:c>
      <x:c r="B289" s="23" t="str">
        <x:v>Thu</x:v>
      </x:c>
      <x:c r="C289" s="23" t="n">
        <x:v>13</x:v>
      </x:c>
      <x:c r="D289" s="23" t="str">
        <x:v>Regular</x:v>
      </x:c>
      <x:c r="E289" s="23" t="str">
        <x:v>BECM 3201</x:v>
      </x:c>
      <x:c r="F289" s="173" t="str">
        <x:v>Construction and Project Management - II</x:v>
      </x:c>
      <x:c r="G289" s="23" t="str">
        <x:v>12:20 PM–01:10 PM</x:v>
      </x:c>
      <x:c r="H289" s="23" t="str">
        <x:v>MR/MRA</x:v>
      </x:c>
      <x:c r="I289" s="23" t="str">
        <x:v>406</x:v>
      </x:c>
      <x:c r="J289" s="23" t="str">
        <x:v>THURS P6</x:v>
      </x:c>
      <x:c r="K289" s="131" t="str"/>
      <x:c r="L289" s="143" t="str"/>
      <x:c r="M289" s="143" t="str"/>
      <x:c r="N289" s="143" t="str"/>
      <x:c r="O289" s="173" t="str"/>
      <x:c r="P289" s="159" t="str">
        <x:f>IF(COUNTIF('Routine &amp; Settings'!$I$5:$I$30,A289)&gt;0,"No",IF(E289="BECM 3204",IF(J289='Routine &amp; Settings'!$B$5,"Yes","No"),IF(E289="BECM 3208",IF(J289='Routine &amp; Settings'!$B$6,"Yes","No"),IF(E289="CE 3224",IF(J289='Routine &amp; Settings'!$B$7,"Yes","No"),IF(E289="BECM 3200",IF('Routine &amp; Settings'!$B$8="Odd Weeks",IF(MOD(C289,2)=1,"Yes","No"),IF(MOD(C289,2)=0,"Yes","No")),"Yes")))))</x:f>
        <x:v>Yes</x:v>
      </x:c>
    </x:row>
    <x:row r="290">
      <x:c r="A290" s="123" t="n">
        <x:v>46366</x:v>
      </x:c>
      <x:c r="B290" s="23" t="str">
        <x:v>Thu</x:v>
      </x:c>
      <x:c r="C290" s="23" t="n">
        <x:v>13</x:v>
      </x:c>
      <x:c r="D290" s="23" t="str">
        <x:v>Regular</x:v>
      </x:c>
      <x:c r="E290" s="23" t="str">
        <x:v>CE 3224</x:v>
      </x:c>
      <x:c r="F290" s="173" t="str">
        <x:v>Sessional on Soil Mechanics</x:v>
      </x:c>
      <x:c r="G290" s="23" t="str">
        <x:v>02:30 PM–05:00 PM</x:v>
      </x:c>
      <x:c r="H290" s="23" t="str">
        <x:v>MHI/MRA</x:v>
      </x:c>
      <x:c r="I290" s="23" t="str">
        <x:v>405</x:v>
      </x:c>
      <x:c r="J290" s="23" t="str">
        <x:v>Thu PM</x:v>
      </x:c>
      <x:c r="K290" s="131" t="str"/>
      <x:c r="L290" s="143" t="str"/>
      <x:c r="M290" s="143" t="str"/>
      <x:c r="N290" s="143" t="str"/>
      <x:c r="O290" s="173" t="str"/>
      <x:c r="P290" s="159" t="str">
        <x:f>IF(COUNTIF('Routine &amp; Settings'!$I$5:$I$30,A290)&gt;0,"No",IF(E290="BECM 3204",IF(J290='Routine &amp; Settings'!$B$5,"Yes","No"),IF(E290="BECM 3208",IF(J290='Routine &amp; Settings'!$B$6,"Yes","No"),IF(E290="CE 3224",IF(J290='Routine &amp; Settings'!$B$7,"Yes","No"),IF(E290="BECM 3200",IF('Routine &amp; Settings'!$B$8="Odd Weeks",IF(MOD(C290,2)=1,"Yes","No"),IF(MOD(C290,2)=0,"Yes","No")),"Yes")))))</x:f>
        <x:v>No</x:v>
      </x:c>
    </x:row>
    <x:row r="291">
      <x:c r="F291" s="69"/>
      <x:c r="K291" s="132"/>
      <x:c r="L291" s="144"/>
      <x:c r="M291" s="144"/>
      <x:c r="N291" s="144"/>
      <x:c r="O291" s="69"/>
      <x:c r="P291" s="160"/>
    </x:row>
    <x:row r="292">
      <x:c r="F292" s="69"/>
      <x:c r="K292" s="132"/>
      <x:c r="L292" s="144"/>
      <x:c r="M292" s="144"/>
      <x:c r="N292" s="144"/>
      <x:c r="O292" s="69"/>
      <x:c r="P292" s="160"/>
    </x:row>
    <x:row r="293">
      <x:c r="A293" s="17" t="str">
        <x:v>Extra / Make-up Classes — add only when a class is held outside the regular routine</x:v>
      </x:c>
      <x:c r="B293" s="17"/>
      <x:c r="C293" s="17"/>
      <x:c r="D293" s="17"/>
      <x:c r="E293" s="17"/>
      <x:c r="F293" s="174"/>
      <x:c r="G293" s="17"/>
      <x:c r="H293" s="17"/>
      <x:c r="I293" s="17"/>
      <x:c r="J293" s="17"/>
      <x:c r="K293" s="133"/>
      <x:c r="L293" s="145"/>
      <x:c r="M293" s="145"/>
      <x:c r="N293" s="145"/>
      <x:c r="O293" s="174"/>
      <x:c r="P293" s="161"/>
    </x:row>
    <x:row r="294">
      <x:c r="A294" s="118" t="str">
        <x:v>Date</x:v>
      </x:c>
      <x:c r="B294" s="118" t="str">
        <x:v>Day</x:v>
      </x:c>
      <x:c r="C294" s="118" t="str">
        <x:v>Week</x:v>
      </x:c>
      <x:c r="D294" s="118" t="str">
        <x:v>Type</x:v>
      </x:c>
      <x:c r="E294" s="118" t="str">
        <x:v>Course</x:v>
      </x:c>
      <x:c r="F294" s="118" t="str">
        <x:v>Course Title</x:v>
      </x:c>
      <x:c r="G294" s="118" t="str">
        <x:v>Time</x:v>
      </x:c>
      <x:c r="H294" s="118" t="str">
        <x:v>Teacher(s)</x:v>
      </x:c>
      <x:c r="I294" s="118" t="str">
        <x:v>Room</x:v>
      </x:c>
      <x:c r="J294" s="118" t="str">
        <x:v>Routine Slot</x:v>
      </x:c>
      <x:c r="K294" s="128" t="str">
        <x:v>Attendance</x:v>
      </x:c>
      <x:c r="L294" s="146" t="str">
        <x:v>Test / Quiz</x:v>
      </x:c>
      <x:c r="M294" s="146" t="str">
        <x:v>Score</x:v>
      </x:c>
      <x:c r="N294" s="146" t="str">
        <x:v>Out of</x:v>
      </x:c>
      <x:c r="O294" s="118" t="str">
        <x:v>Notes</x:v>
      </x:c>
      <x:c r="P294" s="158" t="str">
        <x:v>Auto</x:v>
      </x:c>
    </x:row>
    <x:row r="295">
      <x:c r="A295" s="23"/>
      <x:c r="B295" s="23" t="str">
        <x:f>IF(A295="","",TEXT(A295,"ddd"))</x:f>
      </x:c>
      <x:c r="C295" s="23"/>
      <x:c r="D295" s="23" t="str">
        <x:v>Extra</x:v>
      </x:c>
      <x:c r="E295" s="23"/>
      <x:c r="F295" s="173"/>
      <x:c r="G295" s="23"/>
      <x:c r="H295" s="23"/>
      <x:c r="I295" s="23"/>
      <x:c r="J295" s="23"/>
      <x:c r="K295" s="131"/>
      <x:c r="L295" s="143"/>
      <x:c r="M295" s="143"/>
      <x:c r="N295" s="143"/>
      <x:c r="O295" s="173"/>
      <x:c r="P295" s="159" t="str">
        <x:f>IF(E295="","","Yes")</x:f>
      </x:c>
    </x:row>
    <x:row r="296">
      <x:c r="A296" s="23"/>
      <x:c r="B296" s="23" t="str">
        <x:f>IF(A296="","",TEXT(A296,"ddd"))</x:f>
      </x:c>
      <x:c r="C296" s="23"/>
      <x:c r="D296" s="23" t="str">
        <x:v>Extra</x:v>
      </x:c>
      <x:c r="E296" s="23"/>
      <x:c r="F296" s="173"/>
      <x:c r="G296" s="23"/>
      <x:c r="H296" s="23"/>
      <x:c r="I296" s="23"/>
      <x:c r="J296" s="23"/>
      <x:c r="K296" s="131"/>
      <x:c r="L296" s="143"/>
      <x:c r="M296" s="143"/>
      <x:c r="N296" s="143"/>
      <x:c r="O296" s="173"/>
      <x:c r="P296" s="159" t="str">
        <x:f>IF(E296="","","Yes")</x:f>
      </x:c>
    </x:row>
    <x:row r="297">
      <x:c r="A297" s="23"/>
      <x:c r="B297" s="23" t="str">
        <x:f>IF(A297="","",TEXT(A297,"ddd"))</x:f>
      </x:c>
      <x:c r="C297" s="23"/>
      <x:c r="D297" s="23" t="str">
        <x:v>Extra</x:v>
      </x:c>
      <x:c r="E297" s="23"/>
      <x:c r="F297" s="173"/>
      <x:c r="G297" s="23"/>
      <x:c r="H297" s="23"/>
      <x:c r="I297" s="23"/>
      <x:c r="J297" s="23"/>
      <x:c r="K297" s="131"/>
      <x:c r="L297" s="143"/>
      <x:c r="M297" s="143"/>
      <x:c r="N297" s="143"/>
      <x:c r="O297" s="173"/>
      <x:c r="P297" s="159" t="str">
        <x:f>IF(E297="","","Yes")</x:f>
      </x:c>
    </x:row>
    <x:row r="298">
      <x:c r="A298" s="23"/>
      <x:c r="B298" s="23" t="str">
        <x:f>IF(A298="","",TEXT(A298,"ddd"))</x:f>
      </x:c>
      <x:c r="C298" s="23"/>
      <x:c r="D298" s="23" t="str">
        <x:v>Extra</x:v>
      </x:c>
      <x:c r="E298" s="23"/>
      <x:c r="F298" s="173"/>
      <x:c r="G298" s="23"/>
      <x:c r="H298" s="23"/>
      <x:c r="I298" s="23"/>
      <x:c r="J298" s="23"/>
      <x:c r="K298" s="131"/>
      <x:c r="L298" s="143"/>
      <x:c r="M298" s="143"/>
      <x:c r="N298" s="143"/>
      <x:c r="O298" s="173"/>
      <x:c r="P298" s="159" t="str">
        <x:f>IF(E298="","","Yes")</x:f>
      </x:c>
    </x:row>
    <x:row r="299">
      <x:c r="A299" s="23"/>
      <x:c r="B299" s="23" t="str">
        <x:f>IF(A299="","",TEXT(A299,"ddd"))</x:f>
      </x:c>
      <x:c r="C299" s="23"/>
      <x:c r="D299" s="23" t="str">
        <x:v>Extra</x:v>
      </x:c>
      <x:c r="E299" s="23"/>
      <x:c r="F299" s="173"/>
      <x:c r="G299" s="23"/>
      <x:c r="H299" s="23"/>
      <x:c r="I299" s="23"/>
      <x:c r="J299" s="23"/>
      <x:c r="K299" s="131"/>
      <x:c r="L299" s="143"/>
      <x:c r="M299" s="143"/>
      <x:c r="N299" s="143"/>
      <x:c r="O299" s="173"/>
      <x:c r="P299" s="159" t="str">
        <x:f>IF(E299="","","Yes")</x:f>
      </x:c>
    </x:row>
    <x:row r="300">
      <x:c r="A300" s="23"/>
      <x:c r="B300" s="23" t="str">
        <x:f>IF(A300="","",TEXT(A300,"ddd"))</x:f>
      </x:c>
      <x:c r="C300" s="23"/>
      <x:c r="D300" s="23" t="str">
        <x:v>Extra</x:v>
      </x:c>
      <x:c r="E300" s="23"/>
      <x:c r="F300" s="173"/>
      <x:c r="G300" s="23"/>
      <x:c r="H300" s="23"/>
      <x:c r="I300" s="23"/>
      <x:c r="J300" s="23"/>
      <x:c r="K300" s="131"/>
      <x:c r="L300" s="143"/>
      <x:c r="M300" s="143"/>
      <x:c r="N300" s="143"/>
      <x:c r="O300" s="173"/>
      <x:c r="P300" s="159" t="str">
        <x:f>IF(E300="","","Yes")</x:f>
      </x:c>
    </x:row>
    <x:row r="301">
      <x:c r="A301" s="23"/>
      <x:c r="B301" s="23" t="str">
        <x:f>IF(A301="","",TEXT(A301,"ddd"))</x:f>
      </x:c>
      <x:c r="C301" s="23"/>
      <x:c r="D301" s="23" t="str">
        <x:v>Extra</x:v>
      </x:c>
      <x:c r="E301" s="23"/>
      <x:c r="F301" s="173"/>
      <x:c r="G301" s="23"/>
      <x:c r="H301" s="23"/>
      <x:c r="I301" s="23"/>
      <x:c r="J301" s="23"/>
      <x:c r="K301" s="131"/>
      <x:c r="L301" s="143"/>
      <x:c r="M301" s="143"/>
      <x:c r="N301" s="143"/>
      <x:c r="O301" s="173"/>
      <x:c r="P301" s="159" t="str">
        <x:f>IF(E301="","","Yes")</x:f>
      </x:c>
    </x:row>
    <x:row r="302">
      <x:c r="A302" s="23"/>
      <x:c r="B302" s="23" t="str">
        <x:f>IF(A302="","",TEXT(A302,"ddd"))</x:f>
      </x:c>
      <x:c r="C302" s="23"/>
      <x:c r="D302" s="23" t="str">
        <x:v>Extra</x:v>
      </x:c>
      <x:c r="E302" s="23"/>
      <x:c r="F302" s="173"/>
      <x:c r="G302" s="23"/>
      <x:c r="H302" s="23"/>
      <x:c r="I302" s="23"/>
      <x:c r="J302" s="23"/>
      <x:c r="K302" s="131"/>
      <x:c r="L302" s="143"/>
      <x:c r="M302" s="143"/>
      <x:c r="N302" s="143"/>
      <x:c r="O302" s="173"/>
      <x:c r="P302" s="159" t="str">
        <x:f>IF(E302="","","Yes")</x:f>
      </x:c>
    </x:row>
    <x:row r="303">
      <x:c r="A303" s="23"/>
      <x:c r="B303" s="23" t="str">
        <x:f>IF(A303="","",TEXT(A303,"ddd"))</x:f>
      </x:c>
      <x:c r="C303" s="23"/>
      <x:c r="D303" s="23" t="str">
        <x:v>Extra</x:v>
      </x:c>
      <x:c r="E303" s="23"/>
      <x:c r="F303" s="173"/>
      <x:c r="G303" s="23"/>
      <x:c r="H303" s="23"/>
      <x:c r="I303" s="23"/>
      <x:c r="J303" s="23"/>
      <x:c r="K303" s="131"/>
      <x:c r="L303" s="143"/>
      <x:c r="M303" s="143"/>
      <x:c r="N303" s="143"/>
      <x:c r="O303" s="173"/>
      <x:c r="P303" s="159" t="str">
        <x:f>IF(E303="","","Yes")</x:f>
      </x:c>
    </x:row>
    <x:row r="304">
      <x:c r="A304" s="23"/>
      <x:c r="B304" s="23" t="str">
        <x:f>IF(A304="","",TEXT(A304,"ddd"))</x:f>
      </x:c>
      <x:c r="C304" s="23"/>
      <x:c r="D304" s="23" t="str">
        <x:v>Extra</x:v>
      </x:c>
      <x:c r="E304" s="23"/>
      <x:c r="F304" s="173"/>
      <x:c r="G304" s="23"/>
      <x:c r="H304" s="23"/>
      <x:c r="I304" s="23"/>
      <x:c r="J304" s="23"/>
      <x:c r="K304" s="131"/>
      <x:c r="L304" s="143"/>
      <x:c r="M304" s="143"/>
      <x:c r="N304" s="143"/>
      <x:c r="O304" s="173"/>
      <x:c r="P304" s="159" t="str">
        <x:f>IF(E304="","","Yes")</x:f>
      </x:c>
    </x:row>
    <x:row r="305">
      <x:c r="A305" s="23"/>
      <x:c r="B305" s="23" t="str">
        <x:f>IF(A305="","",TEXT(A305,"ddd"))</x:f>
      </x:c>
      <x:c r="C305" s="23"/>
      <x:c r="D305" s="23" t="str">
        <x:v>Extra</x:v>
      </x:c>
      <x:c r="E305" s="23"/>
      <x:c r="F305" s="173"/>
      <x:c r="G305" s="23"/>
      <x:c r="H305" s="23"/>
      <x:c r="I305" s="23"/>
      <x:c r="J305" s="23"/>
      <x:c r="K305" s="131"/>
      <x:c r="L305" s="143"/>
      <x:c r="M305" s="143"/>
      <x:c r="N305" s="143"/>
      <x:c r="O305" s="173"/>
      <x:c r="P305" s="159" t="str">
        <x:f>IF(E305="","","Yes")</x:f>
      </x:c>
    </x:row>
    <x:row r="306">
      <x:c r="A306" s="23"/>
      <x:c r="B306" s="23" t="str">
        <x:f>IF(A306="","",TEXT(A306,"ddd"))</x:f>
      </x:c>
      <x:c r="C306" s="23"/>
      <x:c r="D306" s="23" t="str">
        <x:v>Extra</x:v>
      </x:c>
      <x:c r="E306" s="23"/>
      <x:c r="F306" s="173"/>
      <x:c r="G306" s="23"/>
      <x:c r="H306" s="23"/>
      <x:c r="I306" s="23"/>
      <x:c r="J306" s="23"/>
      <x:c r="K306" s="131"/>
      <x:c r="L306" s="143"/>
      <x:c r="M306" s="143"/>
      <x:c r="N306" s="143"/>
      <x:c r="O306" s="173"/>
      <x:c r="P306" s="159" t="str">
        <x:f>IF(E306="","","Yes")</x:f>
      </x:c>
    </x:row>
    <x:row r="307">
      <x:c r="A307" s="23"/>
      <x:c r="B307" s="23" t="str">
        <x:f>IF(A307="","",TEXT(A307,"ddd"))</x:f>
      </x:c>
      <x:c r="C307" s="23"/>
      <x:c r="D307" s="23" t="str">
        <x:v>Extra</x:v>
      </x:c>
      <x:c r="E307" s="23"/>
      <x:c r="F307" s="173"/>
      <x:c r="G307" s="23"/>
      <x:c r="H307" s="23"/>
      <x:c r="I307" s="23"/>
      <x:c r="J307" s="23"/>
      <x:c r="K307" s="131"/>
      <x:c r="L307" s="143"/>
      <x:c r="M307" s="143"/>
      <x:c r="N307" s="143"/>
      <x:c r="O307" s="173"/>
      <x:c r="P307" s="159" t="str">
        <x:f>IF(E307="","","Yes")</x:f>
      </x:c>
    </x:row>
    <x:row r="308">
      <x:c r="A308" s="23"/>
      <x:c r="B308" s="23" t="str">
        <x:f>IF(A308="","",TEXT(A308,"ddd"))</x:f>
      </x:c>
      <x:c r="C308" s="23"/>
      <x:c r="D308" s="23" t="str">
        <x:v>Extra</x:v>
      </x:c>
      <x:c r="E308" s="23"/>
      <x:c r="F308" s="173"/>
      <x:c r="G308" s="23"/>
      <x:c r="H308" s="23"/>
      <x:c r="I308" s="23"/>
      <x:c r="J308" s="23"/>
      <x:c r="K308" s="131"/>
      <x:c r="L308" s="143"/>
      <x:c r="M308" s="143"/>
      <x:c r="N308" s="143"/>
      <x:c r="O308" s="173"/>
      <x:c r="P308" s="159" t="str">
        <x:f>IF(E308="","","Yes")</x:f>
      </x:c>
    </x:row>
    <x:row r="309">
      <x:c r="A309" s="23"/>
      <x:c r="B309" s="23" t="str">
        <x:f>IF(A309="","",TEXT(A309,"ddd"))</x:f>
      </x:c>
      <x:c r="C309" s="23"/>
      <x:c r="D309" s="23" t="str">
        <x:v>Extra</x:v>
      </x:c>
      <x:c r="E309" s="23"/>
      <x:c r="F309" s="173"/>
      <x:c r="G309" s="23"/>
      <x:c r="H309" s="23"/>
      <x:c r="I309" s="23"/>
      <x:c r="J309" s="23"/>
      <x:c r="K309" s="131"/>
      <x:c r="L309" s="143"/>
      <x:c r="M309" s="143"/>
      <x:c r="N309" s="143"/>
      <x:c r="O309" s="173"/>
      <x:c r="P309" s="159" t="str">
        <x:f>IF(E309="","","Yes")</x:f>
      </x:c>
    </x:row>
    <x:row r="310">
      <x:c r="A310" s="23"/>
      <x:c r="B310" s="23" t="str">
        <x:f>IF(A310="","",TEXT(A310,"ddd"))</x:f>
      </x:c>
      <x:c r="C310" s="23"/>
      <x:c r="D310" s="23" t="str">
        <x:v>Extra</x:v>
      </x:c>
      <x:c r="E310" s="23"/>
      <x:c r="F310" s="173"/>
      <x:c r="G310" s="23"/>
      <x:c r="H310" s="23"/>
      <x:c r="I310" s="23"/>
      <x:c r="J310" s="23"/>
      <x:c r="K310" s="131"/>
      <x:c r="L310" s="143"/>
      <x:c r="M310" s="143"/>
      <x:c r="N310" s="143"/>
      <x:c r="O310" s="173"/>
      <x:c r="P310" s="159" t="str">
        <x:f>IF(E310="","","Yes")</x:f>
      </x:c>
    </x:row>
    <x:row r="311">
      <x:c r="A311" s="23"/>
      <x:c r="B311" s="23" t="str">
        <x:f>IF(A311="","",TEXT(A311,"ddd"))</x:f>
      </x:c>
      <x:c r="C311" s="23"/>
      <x:c r="D311" s="23" t="str">
        <x:v>Extra</x:v>
      </x:c>
      <x:c r="E311" s="23"/>
      <x:c r="F311" s="173"/>
      <x:c r="G311" s="23"/>
      <x:c r="H311" s="23"/>
      <x:c r="I311" s="23"/>
      <x:c r="J311" s="23"/>
      <x:c r="K311" s="131"/>
      <x:c r="L311" s="143"/>
      <x:c r="M311" s="143"/>
      <x:c r="N311" s="143"/>
      <x:c r="O311" s="173"/>
      <x:c r="P311" s="159" t="str">
        <x:f>IF(E311="","","Yes")</x:f>
      </x:c>
    </x:row>
    <x:row r="312">
      <x:c r="A312" s="23"/>
      <x:c r="B312" s="23" t="str">
        <x:f>IF(A312="","",TEXT(A312,"ddd"))</x:f>
      </x:c>
      <x:c r="C312" s="23"/>
      <x:c r="D312" s="23" t="str">
        <x:v>Extra</x:v>
      </x:c>
      <x:c r="E312" s="23"/>
      <x:c r="F312" s="173"/>
      <x:c r="G312" s="23"/>
      <x:c r="H312" s="23"/>
      <x:c r="I312" s="23"/>
      <x:c r="J312" s="23"/>
      <x:c r="K312" s="131"/>
      <x:c r="L312" s="143"/>
      <x:c r="M312" s="143"/>
      <x:c r="N312" s="143"/>
      <x:c r="O312" s="173"/>
      <x:c r="P312" s="159" t="str">
        <x:f>IF(E312="","","Yes")</x:f>
      </x:c>
    </x:row>
    <x:row r="313">
      <x:c r="A313" s="23"/>
      <x:c r="B313" s="23" t="str">
        <x:f>IF(A313="","",TEXT(A313,"ddd"))</x:f>
      </x:c>
      <x:c r="C313" s="23"/>
      <x:c r="D313" s="23" t="str">
        <x:v>Extra</x:v>
      </x:c>
      <x:c r="E313" s="23"/>
      <x:c r="F313" s="173"/>
      <x:c r="G313" s="23"/>
      <x:c r="H313" s="23"/>
      <x:c r="I313" s="23"/>
      <x:c r="J313" s="23"/>
      <x:c r="K313" s="131"/>
      <x:c r="L313" s="143"/>
      <x:c r="M313" s="143"/>
      <x:c r="N313" s="143"/>
      <x:c r="O313" s="173"/>
      <x:c r="P313" s="159" t="str">
        <x:f>IF(E313="","","Yes")</x:f>
      </x:c>
    </x:row>
    <x:row r="314">
      <x:c r="A314" s="23"/>
      <x:c r="B314" s="23" t="str">
        <x:f>IF(A314="","",TEXT(A314,"ddd"))</x:f>
      </x:c>
      <x:c r="C314" s="23"/>
      <x:c r="D314" s="23" t="str">
        <x:v>Extra</x:v>
      </x:c>
      <x:c r="E314" s="23"/>
      <x:c r="F314" s="173"/>
      <x:c r="G314" s="23"/>
      <x:c r="H314" s="23"/>
      <x:c r="I314" s="23"/>
      <x:c r="J314" s="23"/>
      <x:c r="K314" s="131"/>
      <x:c r="L314" s="143"/>
      <x:c r="M314" s="143"/>
      <x:c r="N314" s="143"/>
      <x:c r="O314" s="173"/>
      <x:c r="P314" s="159" t="str">
        <x:f>IF(E314="","","Yes")</x:f>
      </x:c>
    </x:row>
    <x:row r="315">
      <x:c r="A315" s="23"/>
      <x:c r="B315" s="23" t="str">
        <x:f>IF(A315="","",TEXT(A315,"ddd"))</x:f>
      </x:c>
      <x:c r="C315" s="23"/>
      <x:c r="D315" s="23" t="str">
        <x:v>Extra</x:v>
      </x:c>
      <x:c r="E315" s="23"/>
      <x:c r="F315" s="173"/>
      <x:c r="G315" s="23"/>
      <x:c r="H315" s="23"/>
      <x:c r="I315" s="23"/>
      <x:c r="J315" s="23"/>
      <x:c r="K315" s="131"/>
      <x:c r="L315" s="143"/>
      <x:c r="M315" s="143"/>
      <x:c r="N315" s="143"/>
      <x:c r="O315" s="173"/>
      <x:c r="P315" s="159" t="str">
        <x:f>IF(E315="","","Yes")</x:f>
      </x:c>
    </x:row>
    <x:row r="316">
      <x:c r="A316" s="23"/>
      <x:c r="B316" s="23" t="str">
        <x:f>IF(A316="","",TEXT(A316,"ddd"))</x:f>
      </x:c>
      <x:c r="C316" s="23"/>
      <x:c r="D316" s="23" t="str">
        <x:v>Extra</x:v>
      </x:c>
      <x:c r="E316" s="23"/>
      <x:c r="F316" s="173"/>
      <x:c r="G316" s="23"/>
      <x:c r="H316" s="23"/>
      <x:c r="I316" s="23"/>
      <x:c r="J316" s="23"/>
      <x:c r="K316" s="131"/>
      <x:c r="L316" s="143"/>
      <x:c r="M316" s="143"/>
      <x:c r="N316" s="143"/>
      <x:c r="O316" s="173"/>
      <x:c r="P316" s="159" t="str">
        <x:f>IF(E316="","","Yes")</x:f>
      </x:c>
    </x:row>
    <x:row r="317">
      <x:c r="A317" s="23"/>
      <x:c r="B317" s="23" t="str">
        <x:f>IF(A317="","",TEXT(A317,"ddd"))</x:f>
      </x:c>
      <x:c r="C317" s="23"/>
      <x:c r="D317" s="23" t="str">
        <x:v>Extra</x:v>
      </x:c>
      <x:c r="E317" s="23"/>
      <x:c r="F317" s="173"/>
      <x:c r="G317" s="23"/>
      <x:c r="H317" s="23"/>
      <x:c r="I317" s="23"/>
      <x:c r="J317" s="23"/>
      <x:c r="K317" s="131"/>
      <x:c r="L317" s="143"/>
      <x:c r="M317" s="143"/>
      <x:c r="N317" s="143"/>
      <x:c r="O317" s="173"/>
      <x:c r="P317" s="159" t="str">
        <x:f>IF(E317="","","Yes")</x:f>
      </x:c>
    </x:row>
    <x:row r="318">
      <x:c r="A318" s="23"/>
      <x:c r="B318" s="23" t="str">
        <x:f>IF(A318="","",TEXT(A318,"ddd"))</x:f>
      </x:c>
      <x:c r="C318" s="23"/>
      <x:c r="D318" s="23" t="str">
        <x:v>Extra</x:v>
      </x:c>
      <x:c r="E318" s="23"/>
      <x:c r="F318" s="173"/>
      <x:c r="G318" s="23"/>
      <x:c r="H318" s="23"/>
      <x:c r="I318" s="23"/>
      <x:c r="J318" s="23"/>
      <x:c r="K318" s="131"/>
      <x:c r="L318" s="143"/>
      <x:c r="M318" s="143"/>
      <x:c r="N318" s="143"/>
      <x:c r="O318" s="173"/>
      <x:c r="P318" s="159" t="str">
        <x:f>IF(E318="","","Yes")</x:f>
      </x:c>
    </x:row>
    <x:row r="319">
      <x:c r="A319" s="23"/>
      <x:c r="B319" s="23" t="str">
        <x:f>IF(A319="","",TEXT(A319,"ddd"))</x:f>
      </x:c>
      <x:c r="C319" s="23"/>
      <x:c r="D319" s="23" t="str">
        <x:v>Extra</x:v>
      </x:c>
      <x:c r="E319" s="23"/>
      <x:c r="F319" s="173"/>
      <x:c r="G319" s="23"/>
      <x:c r="H319" s="23"/>
      <x:c r="I319" s="23"/>
      <x:c r="J319" s="23"/>
      <x:c r="K319" s="131"/>
      <x:c r="L319" s="143"/>
      <x:c r="M319" s="143"/>
      <x:c r="N319" s="143"/>
      <x:c r="O319" s="173"/>
      <x:c r="P319" s="159" t="str">
        <x:f>IF(E319="","","Yes")</x:f>
      </x:c>
    </x:row>
    <x:row r="321">
      <x:c r="A321" s="102" t="str">
        <x:v>K.I.Rohan • Bad Time Studio • BECM 2K22 Attendance Tracker</x:v>
      </x:c>
      <x:c r="B321" s="102"/>
      <x:c r="C321" s="102"/>
      <x:c r="D321" s="102"/>
      <x:c r="E321" s="102"/>
      <x:c r="F321" s="102"/>
      <x:c r="G321" s="102"/>
      <x:c r="H321" s="102"/>
      <x:c r="I321" s="102"/>
      <x:c r="J321" s="102"/>
      <x:c r="K321" s="102"/>
      <x:c r="L321" s="102"/>
      <x:c r="M321" s="102"/>
      <x:c r="N321" s="102"/>
      <x:c r="O321" s="102"/>
      <x:c r="P321" s="102"/>
    </x:row>
  </x:sheetData>
  <x:mergeCells>
    <x:mergeCell ref="A1:P1"/>
    <x:mergeCell ref="A2:P2"/>
    <x:mergeCell ref="A293:P293"/>
    <x:mergeCell ref="A321:P321"/>
  </x:mergeCells>
  <x:conditionalFormatting sqref="K5:K290">
    <x:cfRule type="expression" dxfId="0" priority="1">
      <x:formula>K5="Attended"</x:formula>
    </x:cfRule>
    <x:cfRule type="expression" dxfId="1" priority="2">
      <x:formula>K5="Missed"</x:formula>
    </x:cfRule>
    <x:cfRule type="expression" dxfId="2" priority="3">
      <x:formula>K5="Cancelled"</x:formula>
    </x:cfRule>
  </x:conditionalFormatting>
  <x:conditionalFormatting sqref="K295:K319">
    <x:cfRule type="expression" dxfId="3" priority="4">
      <x:formula>K5="Attended"</x:formula>
    </x:cfRule>
    <x:cfRule type="expression" dxfId="4" priority="5">
      <x:formula>K5="Missed"</x:formula>
    </x:cfRule>
    <x:cfRule type="expression" dxfId="5" priority="6">
      <x:formula>K5="Cancelled"</x:formula>
    </x:cfRule>
  </x:conditionalFormatting>
  <x:conditionalFormatting sqref="A5:P290">
    <x:cfRule type="expression" dxfId="6" priority="7">
      <x:formula>$P5="No"</x:formula>
    </x:cfRule>
  </x:conditionalFormatting>
  <x:conditionalFormatting sqref="L5:L319">
    <x:cfRule type="expression" dxfId="7" priority="8">
      <x:formula>L5&lt;&gt;""</x:formula>
    </x:cfRule>
  </x:conditionalFormatting>
  <x:dataValidations count="8">
    <x:dataValidation type="list" sqref="K5:K290">
      <x:formula1>"Attended,Missed,Cancelled"</x:formula1>
    </x:dataValidation>
    <x:dataValidation type="list" sqref="K295:K319">
      <x:formula1>"Attended,Missed,Cancelled"</x:formula1>
    </x:dataValidation>
    <x:dataValidation type="list" sqref="L5:L290">
      <x:formula1>"Spot Test,CT,Quiz"</x:formula1>
    </x:dataValidation>
    <x:dataValidation type="list" sqref="L295:L319">
      <x:formula1>"Spot Test,CT,Quiz"</x:formula1>
    </x:dataValidation>
    <x:dataValidation type="list" sqref="E295:E319">
      <x:formula1>"BECM 3201,BECM 3205,CE 3211,CE 3213,CE 3223,BECM 3200,BECM 3204,BECM 3208,CE 3224"</x:formula1>
    </x:dataValidation>
    <x:dataValidation operator="between" sqref="C295:C319">
      <x:formula1>1</x:formula1>
      <x:formula2>13</x:formula2>
    </x:dataValidation>
    <x:dataValidation type="decimal" sqref="M5:M319">
      <x:formula1>0</x:formula1>
    </x:dataValidation>
    <x:dataValidation type="decimal" operator="greaterThan" sqref="N5:N319">
      <x:formula1>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7" hidden="0" customWidth="1"/>
    <x:col min="3" max="3" width="26" hidden="0" customWidth="1"/>
    <x:col min="4" max="4" width="3" hidden="0" customWidth="1"/>
    <x:col min="5" max="5" width="9" hidden="0" customWidth="1"/>
    <x:col min="6" max="6" width="15" hidden="0" customWidth="1"/>
    <x:col min="7" max="7" width="15" hidden="0" customWidth="1"/>
    <x:col min="8" max="8" width="3" hidden="0" customWidth="1"/>
    <x:col min="9" max="9" width="17" hidden="0" customWidth="1"/>
    <x:col min="10" max="10" width="25" hidden="0" customWidth="1"/>
  </x:cols>
  <x:sheetData>
    <x:row r="1" ht="30" customHeight="1">
      <x:c r="A1" s="5" t="str">
        <x:v>BECM 2K22 • 3rd Year 2nd Term — Routine &amp; Settings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6" customHeight="1">
      <x:c r="A2" s="12" t="str">
        <x:v>Set your sessional slots once. The Class Log automatically ignores the alternate slot and the Puja break.</x:v>
      </x:c>
      <x:c r="B2" s="12"/>
      <x:c r="C2" s="12"/>
      <x:c r="D2" s="12"/>
      <x:c r="E2" s="12"/>
      <x:c r="F2" s="12"/>
      <x:c r="G2" s="12"/>
      <x:c r="H2" s="12"/>
      <x:c r="I2" s="12"/>
      <x:c r="J2" s="12"/>
    </x:row>
    <x:row r="4">
      <x:c r="A4" s="18" t="str">
        <x:v>SETTING</x:v>
      </x:c>
      <x:c r="B4" s="18" t="str">
        <x:v>YOUR CHOICE</x:v>
      </x:c>
      <x:c r="C4" s="18" t="str">
        <x:v>NOTE</x:v>
      </x:c>
      <x:c r="E4" s="32" t="str">
        <x:v>WEEK</x:v>
      </x:c>
      <x:c r="F4" s="32" t="str">
        <x:v>START</x:v>
      </x:c>
      <x:c r="G4" s="32" t="str">
        <x:v>END</x:v>
      </x:c>
      <x:c r="I4" s="43" t="str">
        <x:v>NO-CLASS DATE</x:v>
      </x:c>
      <x:c r="J4" s="43" t="str">
        <x:v>REASON</x:v>
      </x:c>
    </x:row>
    <x:row r="5">
      <x:c r="A5" s="23" t="str">
        <x:v>BECM 3204 slot</x:v>
      </x:c>
      <x:c r="B5" s="27" t="str">
        <x:v>Sun PM</x:v>
      </x:c>
      <x:c r="C5" s="23" t="str">
        <x:v>Sun PM or Thu AM</x:v>
      </x:c>
      <x:c r="E5" s="37" t="n">
        <x:v>1</x:v>
      </x:c>
      <x:c r="F5" s="38" t="n">
        <x:v>46271</x:v>
      </x:c>
      <x:c r="G5" s="38" t="n">
        <x:v>46275</x:v>
      </x:c>
      <x:c r="I5" s="35" t="n">
        <x:v>46313</x:v>
      </x:c>
      <x:c r="J5" s="22" t="str">
        <x:v>Durga Puja Holiday</x:v>
      </x:c>
    </x:row>
    <x:row r="6">
      <x:c r="A6" s="23" t="str">
        <x:v>BECM 3208 slot</x:v>
      </x:c>
      <x:c r="B6" s="27" t="str">
        <x:v>Tue PM</x:v>
      </x:c>
      <x:c r="C6" s="23" t="str">
        <x:v>Tue PM or Wed PM</x:v>
      </x:c>
      <x:c r="E6" s="37" t="n">
        <x:v>2</x:v>
      </x:c>
      <x:c r="F6" s="38" t="n">
        <x:v>46278</x:v>
      </x:c>
      <x:c r="G6" s="38" t="n">
        <x:v>46282</x:v>
      </x:c>
      <x:c r="I6" s="35" t="n">
        <x:v>46314</x:v>
      </x:c>
      <x:c r="J6" s="22" t="str">
        <x:v>Durga Puja Holiday</x:v>
      </x:c>
    </x:row>
    <x:row r="7">
      <x:c r="A7" s="23" t="str">
        <x:v>CE 3224 slot</x:v>
      </x:c>
      <x:c r="B7" s="27" t="str">
        <x:v>Tue AM</x:v>
      </x:c>
      <x:c r="C7" s="23" t="str">
        <x:v>Tue AM or Thu PM</x:v>
      </x:c>
      <x:c r="E7" s="37" t="n">
        <x:v>3</x:v>
      </x:c>
      <x:c r="F7" s="38" t="n">
        <x:v>46285</x:v>
      </x:c>
      <x:c r="G7" s="38" t="n">
        <x:v>46289</x:v>
      </x:c>
      <x:c r="I7" s="35" t="n">
        <x:v>46315</x:v>
      </x:c>
      <x:c r="J7" s="22" t="str">
        <x:v>Durga Puja Holiday</x:v>
      </x:c>
    </x:row>
    <x:row r="8">
      <x:c r="A8" s="23" t="str">
        <x:v>BECM 3200 cycle</x:v>
      </x:c>
      <x:c r="B8" s="27" t="str">
        <x:v>Odd Weeks</x:v>
      </x:c>
      <x:c r="C8" s="23" t="str">
        <x:v>Odd or Even academic weeks</x:v>
      </x:c>
      <x:c r="E8" s="37" t="n">
        <x:v>4</x:v>
      </x:c>
      <x:c r="F8" s="38" t="n">
        <x:v>46292</x:v>
      </x:c>
      <x:c r="G8" s="38" t="n">
        <x:v>46296</x:v>
      </x:c>
      <x:c r="I8" s="35" t="n">
        <x:v>46316</x:v>
      </x:c>
      <x:c r="J8" s="22" t="str">
        <x:v>Durga Puja Holiday</x:v>
      </x:c>
    </x:row>
    <x:row r="9">
      <x:c r="E9" s="37" t="n">
        <x:v>5</x:v>
      </x:c>
      <x:c r="F9" s="38" t="n">
        <x:v>46299</x:v>
      </x:c>
      <x:c r="G9" s="38" t="n">
        <x:v>46303</x:v>
      </x:c>
      <x:c r="I9" s="35" t="n">
        <x:v>46317</x:v>
      </x:c>
      <x:c r="J9" s="22" t="str">
        <x:v>Durga Puja Holiday</x:v>
      </x:c>
    </x:row>
    <x:row r="10">
      <x:c r="E10" s="37" t="n">
        <x:v>6</x:v>
      </x:c>
      <x:c r="F10" s="38" t="n">
        <x:v>46306</x:v>
      </x:c>
      <x:c r="G10" s="38" t="n">
        <x:v>46310</x:v>
      </x:c>
      <x:c r="I10" s="35" t="n">
        <x:v>46318</x:v>
      </x:c>
      <x:c r="J10" s="22" t="str">
        <x:v>Durga Puja Holiday</x:v>
      </x:c>
    </x:row>
    <x:row r="11">
      <x:c r="A11" s="57" t="str">
        <x:v>DAY</x:v>
      </x:c>
      <x:c r="B11" s="57" t="str">
        <x:v>1st</x:v>
      </x:c>
      <x:c r="C11" s="57" t="str">
        <x:v>2nd</x:v>
      </x:c>
      <x:c r="D11" s="57" t="str">
        <x:v>3rd</x:v>
      </x:c>
      <x:c r="E11" s="57" t="str">
        <x:v>4th</x:v>
      </x:c>
      <x:c r="F11" s="58" t="str">
        <x:v>5th</x:v>
      </x:c>
      <x:c r="G11" s="58" t="str">
        <x:v>6th</x:v>
      </x:c>
      <x:c r="H11" s="57" t="str">
        <x:v>7th–9th / PM</x:v>
      </x:c>
      <x:c r="I11" s="58" t="str">
        <x:v>ALT. SLOT</x:v>
      </x:c>
      <x:c r="J11" s="57" t="str">
        <x:v>ROOM / NOTE</x:v>
      </x:c>
    </x:row>
    <x:row r="12" ht="50" customHeight="1">
      <x:c r="A12" s="92" t="str">
        <x:v>SUN</x:v>
      </x:c>
      <x:c r="B12" s="76" t="str"/>
      <x:c r="C12" s="76" t="str"/>
      <x:c r="D12" s="76" t="str"/>
      <x:c r="E12" s="76" t="str">
        <x:v>CE 3213
HRS</x:v>
      </x:c>
      <x:c r="F12" s="77" t="str">
        <x:v>CE 3223
MSA</x:v>
      </x:c>
      <x:c r="G12" s="77" t="str">
        <x:v>CE 3211
MKI</x:v>
      </x:c>
      <x:c r="H12" s="76" t="str">
        <x:v>BECM 3204
Sun PM</x:v>
      </x:c>
      <x:c r="I12" s="78" t="str"/>
      <x:c r="J12" s="79" t="str">
        <x:v>Rm 404 / 501</x:v>
      </x:c>
    </x:row>
    <x:row r="13" ht="50" customHeight="1">
      <x:c r="A13" s="92" t="str">
        <x:v>MON</x:v>
      </x:c>
      <x:c r="B13" s="76" t="str"/>
      <x:c r="C13" s="76" t="str"/>
      <x:c r="D13" s="76" t="str">
        <x:v>CE 3223
MHI/MSA</x:v>
      </x:c>
      <x:c r="E13" s="76" t="str"/>
      <x:c r="F13" s="77" t="str">
        <x:v>BECM 3201
MR</x:v>
      </x:c>
      <x:c r="G13" s="77" t="str">
        <x:v>BECM 3205
AAM</x:v>
      </x:c>
      <x:c r="H13" s="76" t="str">
        <x:v>BECM 3200
Mon PM</x:v>
      </x:c>
      <x:c r="I13" s="78" t="str"/>
      <x:c r="J13" s="79" t="str">
        <x:v>Rm 404 / 405</x:v>
      </x:c>
    </x:row>
    <x:row r="14" ht="50" customHeight="1">
      <x:c r="A14" s="92" t="str">
        <x:v>TUES</x:v>
      </x:c>
      <x:c r="B14" s="76" t="str">
        <x:v>CE 3224
Tue AM</x:v>
      </x:c>
      <x:c r="C14" s="76" t="str"/>
      <x:c r="D14" s="76" t="str"/>
      <x:c r="E14" s="76" t="str"/>
      <x:c r="F14" s="77" t="str">
        <x:v>CE 3213
MKI</x:v>
      </x:c>
      <x:c r="G14" s="77" t="str">
        <x:v>BECM 3201
MRA</x:v>
      </x:c>
      <x:c r="H14" s="76" t="str">
        <x:v>BECM 3208
Tue PM</x:v>
      </x:c>
      <x:c r="I14" s="78" t="str"/>
      <x:c r="J14" s="79" t="str">
        <x:v>Rm 405</x:v>
      </x:c>
    </x:row>
    <x:row r="15" ht="50" customHeight="1">
      <x:c r="A15" s="92" t="str">
        <x:v>WED</x:v>
      </x:c>
      <x:c r="B15" s="76" t="str"/>
      <x:c r="C15" s="76" t="str"/>
      <x:c r="D15" s="76" t="str">
        <x:v>CE 3213
HRS/MKI</x:v>
      </x:c>
      <x:c r="E15" s="76" t="str">
        <x:v>CE 3211
ATB</x:v>
      </x:c>
      <x:c r="F15" s="77" t="str">
        <x:v>CE 3223
MHI</x:v>
      </x:c>
      <x:c r="G15" s="77" t="str">
        <x:v>BECM 3205
MSH/AAM</x:v>
      </x:c>
      <x:c r="H15" s="76" t="str">
        <x:v>BECM 3208
Wed PM</x:v>
      </x:c>
      <x:c r="I15" s="78" t="str"/>
      <x:c r="J15" s="79" t="str">
        <x:v>Rm 501</x:v>
      </x:c>
    </x:row>
    <x:row r="16" ht="50" customHeight="1">
      <x:c r="A16" s="92" t="str">
        <x:v>THU</x:v>
      </x:c>
      <x:c r="B16" s="76" t="str">
        <x:v>BECM 3204
Thu AM</x:v>
      </x:c>
      <x:c r="C16" s="76" t="str"/>
      <x:c r="D16" s="76" t="str"/>
      <x:c r="E16" s="76" t="str">
        <x:v>BECM 3205
MSH</x:v>
      </x:c>
      <x:c r="F16" s="77" t="str">
        <x:v>CE 3211
MKI/ATB</x:v>
      </x:c>
      <x:c r="G16" s="77" t="str">
        <x:v>BECM 3201
MR/MRA</x:v>
      </x:c>
      <x:c r="H16" s="76" t="str">
        <x:v>CE 3224
Thu PM</x:v>
      </x:c>
      <x:c r="I16" s="78" t="str"/>
      <x:c r="J16" s="79" t="str">
        <x:v>Rm 405 / 406</x:v>
      </x:c>
    </x:row>
    <x:row r="17">
      <x:c r="E17" s="37" t="n">
        <x:v>13</x:v>
      </x:c>
      <x:c r="F17" s="38" t="n">
        <x:v>46362</x:v>
      </x:c>
      <x:c r="G17" s="38" t="n">
        <x:v>46366</x:v>
      </x:c>
      <x:c r="I17" s="47"/>
      <x:c r="J17" s="48"/>
    </x:row>
    <x:row r="18">
      <x:c r="I18" s="47"/>
      <x:c r="J18" s="48"/>
    </x:row>
    <x:row r="19">
      <x:c r="A19" s="17" t="str">
        <x:v>Theory CT Summary • 30 marks per teacher portion</x:v>
      </x:c>
      <x:c r="B19" s="17"/>
      <x:c r="C19" s="17"/>
      <x:c r="D19" s="17"/>
      <x:c r="E19" s="17"/>
      <x:c r="F19" s="17"/>
      <x:c r="G19" s="17"/>
      <x:c r="I19" s="47"/>
      <x:c r="J19" s="48"/>
    </x:row>
    <x:row r="20">
      <x:c r="A20" s="32" t="str">
        <x:v>COURSE</x:v>
      </x:c>
      <x:c r="B20" s="32" t="str">
        <x:v>TEACHER A</x:v>
      </x:c>
      <x:c r="C20" s="32" t="str">
        <x:v>CT /30</x:v>
      </x:c>
      <x:c r="D20" s="32" t="str">
        <x:v>TEACHER B</x:v>
      </x:c>
      <x:c r="E20" s="32" t="str">
        <x:v>CT /30</x:v>
      </x:c>
      <x:c r="F20" s="32" t="str">
        <x:v>TOTAL /60</x:v>
      </x:c>
      <x:c r="G20" s="32" t="str">
        <x:v>NOTE</x:v>
      </x:c>
      <x:c r="I20" s="47"/>
      <x:c r="J20" s="48"/>
    </x:row>
    <x:row r="21">
      <x:c r="A21" s="22" t="str">
        <x:v>BECM 3201</x:v>
      </x:c>
      <x:c r="B21" s="22" t="str">
        <x:v>MR</x:v>
      </x:c>
      <x:c r="C21" s="95" t="str"/>
      <x:c r="D21" s="22" t="str">
        <x:v>MRA</x:v>
      </x:c>
      <x:c r="E21" s="95" t="str"/>
      <x:c r="F21" s="97" t="str">
        <x:f>IF(COUNT(C21,E21)=0,"",SUM(C21,E21))</x:f>
      </x:c>
      <x:c r="G21" s="22" t="str"/>
      <x:c r="I21" s="47"/>
      <x:c r="J21" s="48"/>
    </x:row>
    <x:row r="22">
      <x:c r="A22" s="22" t="str">
        <x:v>BECM 3205</x:v>
      </x:c>
      <x:c r="B22" s="22" t="str">
        <x:v>AAM</x:v>
      </x:c>
      <x:c r="C22" s="95" t="str"/>
      <x:c r="D22" s="22" t="str">
        <x:v>MSH</x:v>
      </x:c>
      <x:c r="E22" s="95" t="str"/>
      <x:c r="F22" s="97" t="str">
        <x:f>IF(COUNT(C22,E22)=0,"",SUM(C22,E22))</x:f>
      </x:c>
      <x:c r="G22" s="22" t="str"/>
      <x:c r="I22" s="47"/>
      <x:c r="J22" s="48"/>
    </x:row>
    <x:row r="23">
      <x:c r="A23" s="22" t="str">
        <x:v>CE 3211</x:v>
      </x:c>
      <x:c r="B23" s="22" t="str">
        <x:v>MKI</x:v>
      </x:c>
      <x:c r="C23" s="95" t="str"/>
      <x:c r="D23" s="22" t="str">
        <x:v>ATB</x:v>
      </x:c>
      <x:c r="E23" s="95" t="str"/>
      <x:c r="F23" s="97" t="str">
        <x:f>IF(COUNT(C23,E23)=0,"",SUM(C23,E23))</x:f>
      </x:c>
      <x:c r="G23" s="22" t="str"/>
      <x:c r="I23" s="47"/>
      <x:c r="J23" s="48"/>
    </x:row>
    <x:row r="24">
      <x:c r="A24" s="22" t="str">
        <x:v>CE 3213</x:v>
      </x:c>
      <x:c r="B24" s="22" t="str">
        <x:v>HRS</x:v>
      </x:c>
      <x:c r="C24" s="95" t="str"/>
      <x:c r="D24" s="22" t="str">
        <x:v>MKI</x:v>
      </x:c>
      <x:c r="E24" s="95" t="str"/>
      <x:c r="F24" s="97" t="str">
        <x:f>IF(COUNT(C24,E24)=0,"",SUM(C24,E24))</x:f>
      </x:c>
      <x:c r="G24" s="22" t="str"/>
      <x:c r="I24" s="47"/>
      <x:c r="J24" s="48"/>
    </x:row>
    <x:row r="25">
      <x:c r="A25" s="22" t="str">
        <x:v>CE 3223</x:v>
      </x:c>
      <x:c r="B25" s="22" t="str">
        <x:v>MHI</x:v>
      </x:c>
      <x:c r="C25" s="95" t="str"/>
      <x:c r="D25" s="22" t="str">
        <x:v>MSA</x:v>
      </x:c>
      <x:c r="E25" s="95" t="str"/>
      <x:c r="F25" s="97" t="str">
        <x:f>IF(COUNT(C25,E25)=0,"",SUM(C25,E25))</x:f>
      </x:c>
      <x:c r="G25" s="22" t="str"/>
      <x:c r="I25" s="47"/>
      <x:c r="J25" s="48"/>
    </x:row>
    <x:row r="26">
      <x:c r="I26" s="47"/>
      <x:c r="J26" s="48"/>
    </x:row>
    <x:row r="27">
      <x:c r="I27" s="47"/>
      <x:c r="J27" s="48"/>
    </x:row>
    <x:row r="28">
      <x:c r="A28" s="102" t="str">
        <x:v>Designed for BECM 2K22 • K.I.Rohan • Bad Time Studio</x:v>
      </x:c>
      <x:c r="B28" s="102"/>
      <x:c r="C28" s="102"/>
      <x:c r="D28" s="102"/>
      <x:c r="E28" s="102"/>
      <x:c r="F28" s="102"/>
      <x:c r="G28" s="102"/>
      <x:c r="H28" s="102"/>
      <x:c r="I28" s="103"/>
      <x:c r="J28" s="104"/>
    </x:row>
    <x:row r="29">
      <x:c r="I29" s="47"/>
      <x:c r="J29" s="48"/>
    </x:row>
    <x:row r="30">
      <x:c r="I30" s="47"/>
      <x:c r="J30" s="48"/>
    </x:row>
  </x:sheetData>
  <x:mergeCells>
    <x:mergeCell ref="A1:J1"/>
    <x:mergeCell ref="A2:J2"/>
    <x:mergeCell ref="A19:G19"/>
    <x:mergeCell ref="A28:J28"/>
  </x:mergeCells>
  <x:dataValidations count="6">
    <x:dataValidation type="list" sqref="B5">
      <x:formula1>"Sun PM,Thu AM"</x:formula1>
    </x:dataValidation>
    <x:dataValidation type="list" sqref="B6">
      <x:formula1>"Tue PM,Wed PM"</x:formula1>
    </x:dataValidation>
    <x:dataValidation type="list" sqref="B7">
      <x:formula1>"Tue AM,Thu PM"</x:formula1>
    </x:dataValidation>
    <x:dataValidation type="list" sqref="B8">
      <x:formula1>"Odd Weeks,Even Weeks"</x:formula1>
    </x:dataValidation>
    <x:dataValidation type="decimal" operator="between" sqref="C21:C25">
      <x:formula1>0</x:formula1>
      <x:formula2>30</x:formula2>
    </x:dataValidation>
    <x:dataValidation type="decimal" operator="between" sqref="E21:E25">
      <x:formula1>0</x:formula1>
      <x:formula2>30</x:formula2>
    </x:dataValidation>
  </x:dataValidations>
  <x:pageMargins left="0.7" right="0.7" top="0.75" bottom="0.75" header="0.3" footer="0.3"/>
</x:worksheet>
</file>