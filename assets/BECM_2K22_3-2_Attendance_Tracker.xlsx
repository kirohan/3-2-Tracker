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60530309c43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9b02fd12fda4ec7"/>
    <x:sheet xmlns:r="http://schemas.openxmlformats.org/officeDocument/2006/relationships" name="Class Log" sheetId="2" r:id="R19c0e50de33949b2"/>
    <x:sheet xmlns:r="http://schemas.openxmlformats.org/officeDocument/2006/relationships" name="Routine &amp; Holidays" sheetId="3" r:id="R637ac9ae5ba04d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%"/>
    <x:numFmt numFmtId="202" formatCode="dd-mmm-yyyy"/>
  </x:numFmts>
  <x:fonts count="1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F2747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b/>
      <x:sz val="11"/>
      <x:color rgb="FF2563EB"/>
      <x:name val="Carlito"/>
    </x:font>
    <x:font>
      <x:i/>
      <x:sz val="9"/>
      <x:color rgb="FF475569"/>
      <x:name val="Carlito"/>
    </x:font>
    <x:font>
      <x:b/>
      <x:sz val="18"/>
      <x:color rgb="FF0F172A"/>
      <x:name val="Carlito"/>
    </x:font>
    <x:font>
      <x:sz val="1"/>
      <x:color rgb="FFFFFFFF"/>
      <x:name val="Carlito"/>
    </x:font>
    <x:font>
      <x:b/>
      <x:sz val="11"/>
      <x:color rgb="FFD97706"/>
      <x:name val="Carlito"/>
    </x:font>
    <x:font>
      <x:sz val="10"/>
      <x:color rgb="FF0F172A"/>
      <x:name val="Carlito"/>
    </x:font>
    <x:font>
      <x:b/>
      <x:sz val="9"/>
      <x:color rgb="FFFFFFFF"/>
      <x:name val="Carlito"/>
    </x:font>
    <x:font>
      <x:b/>
      <x:sz val="10"/>
      <x:color rgb="FF0F2747"/>
      <x:name val="Carlito"/>
    </x:font>
    <x:font>
      <x:sz val="9"/>
      <x:color rgb="FF0F172A"/>
      <x:name val="Carlito"/>
    </x:font>
    <x:font>
      <x:b/>
      <x:sz val="9"/>
      <x:color rgb="FF0F172A"/>
      <x:name val="Carlito"/>
    </x:font>
    <x:font>
      <x:b/>
      <x:sz val="9"/>
      <x:color rgb="FFD97706"/>
      <x:name val="Carlito"/>
    </x:font>
    <x:font>
      <x:b/>
      <x:sz val="10"/>
      <x:color rgb="FF0F172A"/>
      <x:name val="Carlito"/>
    </x:font>
    <x:font>
      <x:b/>
      <x:sz val="10"/>
      <x:color rgb="FFD97706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E8EEF6"/>
      </x:patternFill>
    </x:fill>
    <x:fill>
      <x:patternFill patternType="solid">
        <x:fgColor rgb="FFEFF6FF"/>
      </x:patternFill>
    </x:fill>
    <x:fill>
      <x:patternFill patternType="solid">
        <x:fgColor rgb="FFF8FAFC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  <x:fill>
      <x:patternFill patternType="solid">
        <x:fgColor rgb="FFDCE6F1"/>
      </x:patternFill>
    </x:fill>
    <x:fill>
      <x:patternFill patternType="solid">
        <x:fgColor rgb="FFFFFBEB"/>
      </x:patternFill>
    </x:fill>
    <x:fill>
      <x:patternFill patternType="solid">
        <x:fgColor rgb="FFFFFFFF"/>
      </x:patternFill>
    </x:fill>
  </x:fills>
  <x:borders count="60">
    <x:border/>
    <x:border/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none"/>
      <x:top style="none"/>
    </x:border>
    <x:border>
      <x:top style="none"/>
    </x:border>
    <x:border>
      <x:left style="thin">
        <x:color rgb="FFCBD5E1"/>
      </x:left>
      <x:top style="none"/>
    </x:border>
    <x:border>
      <x:right style="thin">
        <x:color rgb="FFCBD5E1"/>
      </x:right>
      <x:top style="none"/>
    </x:border>
    <x:border>
      <x:right style="none"/>
      <x:top style="none"/>
    </x:border>
    <x:border>
      <x:left style="none"/>
    </x:border>
    <x:border>
      <x:right style="none"/>
    </x:border>
    <x:border>
      <x:left style="none"/>
      <x:top style="thin">
        <x:color rgb="FFCBD5E1"/>
      </x:top>
      <x:bottom style="none"/>
    </x:border>
    <x:border>
      <x:top style="thin">
        <x:color rgb="FFCBD5E1"/>
      </x:top>
      <x:bottom style="none"/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none"/>
    </x:border>
    <x:border>
      <x:right style="thin">
        <x:color rgb="FFCBD5E1"/>
      </x:right>
      <x:top style="thin">
        <x:color rgb="FFCBD5E1"/>
      </x:top>
      <x:bottom style="none"/>
    </x:border>
    <x:border>
      <x:bottom style="none"/>
    </x:border>
    <x:border>
      <x:left style="thin">
        <x:color rgb="FFCBD5E1"/>
      </x:left>
      <x:top style="thin">
        <x:color rgb="FFCBD5E1"/>
      </x:top>
      <x:bottom style="none"/>
    </x:border>
    <x:border>
      <x:right style="none"/>
      <x:top style="thin">
        <x:color rgb="FFCBD5E1"/>
      </x:top>
      <x:bottom style="none"/>
    </x:border>
    <x:border>
      <x:left style="none"/>
      <x:top style="none"/>
    </x:border>
    <x:border>
      <x:top style="none"/>
    </x:border>
    <x:border>
      <x:left style="thin">
        <x:color rgb="FFCBD5E1"/>
      </x:left>
      <x:top style="none"/>
    </x:border>
    <x:border>
      <x:right style="thin">
        <x:color rgb="FFCBD5E1"/>
      </x:right>
      <x:top style="none"/>
    </x:border>
    <x:border>
      <x:right style="none"/>
      <x:top style="none"/>
    </x:border>
    <x:border>
      <x:left style="none"/>
    </x:border>
    <x:border>
      <x:right style="none"/>
    </x:border>
    <x:border>
      <x:left style="none"/>
      <x:top style="thin">
        <x:color rgb="FFCBD5E1"/>
      </x:top>
      <x:bottom style="none"/>
    </x:border>
    <x:border>
      <x:top style="thin">
        <x:color rgb="FFCBD5E1"/>
      </x:top>
      <x:bottom style="none"/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none"/>
    </x:border>
    <x:border>
      <x:right style="thin">
        <x:color rgb="FFCBD5E1"/>
      </x:right>
      <x:top style="thin">
        <x:color rgb="FFCBD5E1"/>
      </x:top>
      <x:bottom style="none"/>
    </x:border>
    <x:border>
      <x:bottom style="none"/>
    </x:border>
    <x:border>
      <x:left style="thin">
        <x:color rgb="FFCBD5E1"/>
      </x:left>
      <x:top style="thin">
        <x:color rgb="FFCBD5E1"/>
      </x:top>
      <x:bottom style="none"/>
    </x:border>
    <x:border>
      <x:right style="none"/>
      <x:top style="thin">
        <x:color rgb="FFCBD5E1"/>
      </x:top>
      <x:bottom style="none"/>
    </x:border>
  </x:borders>
  <x:cellStyleXfs count="1">
    <x:xf numFmtId="0" fontId="0" fillId="0" borderId="0"/>
  </x:cellStyleXfs>
  <x:cellXfs count="90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5" fillId="4" borderId="4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5" fillId="4" borderId="3" xfId="0" applyNumberFormat="1" applyFont="1" applyFill="1" applyBorder="1" applyAlignment="1">
      <x:alignment horizontal="center"/>
    </x:xf>
    <x:xf numFmtId="0" fontId="5" fillId="4" borderId="4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7" xfId="0" applyNumberFormat="1" applyFont="1" applyFill="1" applyBorder="1"/>
    <x:xf numFmtId="0" fontId="5" fillId="4" borderId="5" xfId="0" applyNumberFormat="1" applyFont="1" applyFill="1" applyBorder="1" applyAlignment="1">
      <x:alignment horizontal="center"/>
    </x:xf>
    <x:xf numFmtId="0" fontId="5" fillId="4" borderId="6" xfId="0" applyNumberFormat="1" applyFont="1" applyFill="1" applyBorder="1" applyAlignment="1">
      <x:alignment horizontal="center"/>
    </x:xf>
    <x:xf numFmtId="0" fontId="5" fillId="4" borderId="7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3" xfId="0" applyNumberFormat="1" applyFont="1" applyFill="1" applyBorder="1"/>
    <x:xf numFmtId="0" fontId="7" fillId="6" borderId="8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/>
    </x:xf>
    <x:xf numFmtId="0" fontId="7" fillId="6" borderId="10" xfId="0" applyNumberFormat="1" applyFont="1" applyFill="1" applyBorder="1" applyAlignment="1">
      <x:alignment horizontal="center"/>
    </x:xf>
    <x:xf numFmtId="0" fontId="7" fillId="6" borderId="11" xfId="0" applyNumberFormat="1" applyFont="1" applyFill="1" applyBorder="1" applyAlignment="1">
      <x:alignment horizontal="center"/>
    </x:xf>
    <x:xf numFmtId="0" fontId="7" fillId="6" borderId="12" xfId="0" applyNumberFormat="1" applyFont="1" applyFill="1" applyBorder="1" applyAlignment="1">
      <x:alignment horizontal="center"/>
    </x:xf>
    <x:xf numFmtId="0" fontId="7" fillId="6" borderId="13" xfId="0" applyNumberFormat="1" applyFont="1" applyFill="1" applyBorder="1" applyAlignment="1">
      <x:alignment horizontal="center"/>
    </x:xf>
    <x:xf numFmtId="0" fontId="7" fillId="6" borderId="8" xfId="0" applyNumberFormat="1" applyFont="1" applyFill="1" applyBorder="1" applyAlignment="1">
      <x:alignment horizontal="center" vertical="center"/>
    </x:xf>
    <x:xf numFmtId="0" fontId="7" fillId="6" borderId="9" xfId="0" applyNumberFormat="1" applyFont="1" applyFill="1" applyBorder="1" applyAlignment="1">
      <x:alignment horizontal="center" vertical="center"/>
    </x:xf>
    <x:xf numFmtId="0" fontId="7" fillId="6" borderId="10" xfId="0" applyNumberFormat="1" applyFont="1" applyFill="1" applyBorder="1" applyAlignment="1">
      <x:alignment horizontal="center" vertical="center"/>
    </x:xf>
    <x:xf numFmtId="0" fontId="7" fillId="6" borderId="11" xfId="0" applyNumberFormat="1" applyFont="1" applyFill="1" applyBorder="1" applyAlignment="1">
      <x:alignment horizontal="center" vertical="center"/>
    </x:xf>
    <x:xf numFmtId="0" fontId="7" fillId="6" borderId="12" xfId="0" applyNumberFormat="1" applyFont="1" applyFill="1" applyBorder="1" applyAlignment="1">
      <x:alignment horizontal="center" vertical="center"/>
    </x:xf>
    <x:xf numFmtId="0" fontId="7" fillId="6" borderId="13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4" xfId="0" applyNumberFormat="1" applyFont="1" applyFill="1" applyBorder="1"/>
    <x:xf numFmtId="0" fontId="7" fillId="6" borderId="15" xfId="0" applyNumberFormat="1" applyFont="1" applyFill="1" applyBorder="1"/>
    <x:xf numFmtId="0" fontId="7" fillId="6" borderId="16" xfId="0" applyNumberFormat="1" applyFont="1" applyFill="1" applyBorder="1"/>
    <x:xf numFmtId="0" fontId="7" fillId="6" borderId="17" xfId="0" applyNumberFormat="1" applyFont="1" applyFill="1" applyBorder="1"/>
    <x:xf numFmtId="0" fontId="7" fillId="6" borderId="18" xfId="0" applyNumberFormat="1" applyFont="1" applyFill="1" applyBorder="1"/>
    <x:xf numFmtId="0" fontId="7" fillId="6" borderId="19" xfId="0" applyNumberFormat="1" applyFont="1" applyFill="1" applyBorder="1"/>
    <x:xf numFmtId="0" fontId="7" fillId="6" borderId="14" xfId="0" applyNumberFormat="1" applyFont="1" applyFill="1" applyBorder="1" applyAlignment="1">
      <x:alignment horizontal="center"/>
    </x:xf>
    <x:xf numFmtId="0" fontId="7" fillId="6" borderId="15" xfId="0" applyNumberFormat="1" applyFont="1" applyFill="1" applyBorder="1" applyAlignment="1">
      <x:alignment horizontal="center"/>
    </x:xf>
    <x:xf numFmtId="0" fontId="7" fillId="6" borderId="16" xfId="0" applyNumberFormat="1" applyFont="1" applyFill="1" applyBorder="1" applyAlignment="1">
      <x:alignment horizontal="center"/>
    </x:xf>
    <x:xf numFmtId="0" fontId="7" fillId="6" borderId="17" xfId="0" applyNumberFormat="1" applyFont="1" applyFill="1" applyBorder="1" applyAlignment="1">
      <x:alignment horizontal="center"/>
    </x:xf>
    <x:xf numFmtId="0" fontId="7" fillId="6" borderId="18" xfId="0" applyNumberFormat="1" applyFont="1" applyFill="1" applyBorder="1" applyAlignment="1">
      <x:alignment horizontal="center"/>
    </x:xf>
    <x:xf numFmtId="0" fontId="7" fillId="6" borderId="19" xfId="0" applyNumberFormat="1" applyFont="1" applyFill="1" applyBorder="1" applyAlignment="1">
      <x:alignment horizontal="center"/>
    </x:xf>
    <x:xf numFmtId="0" fontId="7" fillId="6" borderId="14" xfId="0" applyNumberFormat="1" applyFont="1" applyFill="1" applyBorder="1" applyAlignment="1">
      <x:alignment horizontal="center" vertical="center"/>
    </x:xf>
    <x:xf numFmtId="0" fontId="7" fillId="6" borderId="15" xfId="0" applyNumberFormat="1" applyFont="1" applyFill="1" applyBorder="1" applyAlignment="1">
      <x:alignment horizontal="center" vertical="center"/>
    </x:xf>
    <x:xf numFmtId="0" fontId="7" fillId="6" borderId="16" xfId="0" applyNumberFormat="1" applyFont="1" applyFill="1" applyBorder="1" applyAlignment="1">
      <x:alignment horizontal="center" vertical="center"/>
    </x:xf>
    <x:xf numFmtId="0" fontId="7" fillId="6" borderId="17" xfId="0" applyNumberFormat="1" applyFont="1" applyFill="1" applyBorder="1" applyAlignment="1">
      <x:alignment horizontal="center" vertical="center"/>
    </x:xf>
    <x:xf numFmtId="0" fontId="7" fillId="6" borderId="18" xfId="0" applyNumberFormat="1" applyFont="1" applyFill="1" applyBorder="1" applyAlignment="1">
      <x:alignment horizontal="center" vertical="center"/>
    </x:xf>
    <x:xf numFmtId="0" fontId="7" fillId="6" borderId="19" xfId="0" applyNumberFormat="1" applyFont="1" applyFill="1" applyBorder="1" applyAlignment="1">
      <x:alignment horizontal="center" vertical="center"/>
    </x:xf>
    <x:xf numFmtId="0" fontId="7" fillId="4" borderId="0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12" xfId="0" applyNumberFormat="1" applyFont="1" applyFill="1" applyBorder="1"/>
    <x:xf numFmtId="0" fontId="7" fillId="4" borderId="13" xfId="0" applyNumberFormat="1" applyFont="1" applyFill="1" applyBorder="1"/>
    <x:xf numFmtId="0" fontId="7" fillId="4" borderId="8" xfId="0" applyNumberFormat="1" applyFont="1" applyFill="1" applyBorder="1" applyAlignment="1">
      <x:alignment horizontal="center"/>
    </x:xf>
    <x:xf numFmtId="0" fontId="7" fillId="4" borderId="9" xfId="0" applyNumberFormat="1" applyFont="1" applyFill="1" applyBorder="1" applyAlignment="1">
      <x:alignment horizontal="center"/>
    </x:xf>
    <x:xf numFmtId="0" fontId="7" fillId="4" borderId="10" xfId="0" applyNumberFormat="1" applyFont="1" applyFill="1" applyBorder="1" applyAlignment="1">
      <x:alignment horizontal="center"/>
    </x:xf>
    <x:xf numFmtId="0" fontId="7" fillId="4" borderId="11" xfId="0" applyNumberFormat="1" applyFont="1" applyFill="1" applyBorder="1" applyAlignment="1">
      <x:alignment horizontal="center"/>
    </x:xf>
    <x:xf numFmtId="0" fontId="7" fillId="4" borderId="12" xfId="0" applyNumberFormat="1" applyFont="1" applyFill="1" applyBorder="1" applyAlignment="1">
      <x:alignment horizontal="center"/>
    </x:xf>
    <x:xf numFmtId="0" fontId="7" fillId="4" borderId="13" xfId="0" applyNumberFormat="1" applyFont="1" applyFill="1" applyBorder="1" applyAlignment="1">
      <x:alignment horizontal="center"/>
    </x:xf>
    <x:xf numFmtId="0" fontId="7" fillId="4" borderId="8" xfId="0" applyNumberFormat="1" applyFont="1" applyFill="1" applyBorder="1" applyAlignment="1">
      <x:alignment horizontal="center" vertical="center"/>
    </x:xf>
    <x:xf numFmtId="0" fontId="7" fillId="4" borderId="9" xfId="0" applyNumberFormat="1" applyFont="1" applyFill="1" applyBorder="1" applyAlignment="1">
      <x:alignment horizontal="center" vertical="center"/>
    </x:xf>
    <x:xf numFmtId="0" fontId="7" fillId="4" borderId="10" xfId="0" applyNumberFormat="1" applyFont="1" applyFill="1" applyBorder="1" applyAlignment="1">
      <x:alignment horizontal="center" vertical="center"/>
    </x:xf>
    <x:xf numFmtId="0" fontId="7" fillId="4" borderId="11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horizontal="center" vertical="center"/>
    </x:xf>
    <x:xf numFmtId="0" fontId="7" fillId="4" borderId="13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/>
    <x:xf numFmtId="0" fontId="7" fillId="4" borderId="14" xfId="0" applyNumberFormat="1" applyFont="1" applyFill="1" applyBorder="1"/>
    <x:xf numFmtId="0" fontId="7" fillId="4" borderId="15" xfId="0" applyNumberFormat="1" applyFont="1" applyFill="1" applyBorder="1"/>
    <x:xf numFmtId="0" fontId="7" fillId="4" borderId="16" xfId="0" applyNumberFormat="1" applyFont="1" applyFill="1" applyBorder="1"/>
    <x:xf numFmtId="0" fontId="7" fillId="4" borderId="17" xfId="0" applyNumberFormat="1" applyFont="1" applyFill="1" applyBorder="1"/>
    <x:xf numFmtId="0" fontId="7" fillId="4" borderId="18" xfId="0" applyNumberFormat="1" applyFont="1" applyFill="1" applyBorder="1"/>
    <x:xf numFmtId="0" fontId="7" fillId="4" borderId="19" xfId="0" applyNumberFormat="1" applyFont="1" applyFill="1" applyBorder="1"/>
    <x:xf numFmtId="0" fontId="7" fillId="4" borderId="14" xfId="0" applyNumberFormat="1" applyFont="1" applyFill="1" applyBorder="1" applyAlignment="1">
      <x:alignment horizontal="center"/>
    </x:xf>
    <x:xf numFmtId="0" fontId="7" fillId="4" borderId="15" xfId="0" applyNumberFormat="1" applyFont="1" applyFill="1" applyBorder="1" applyAlignment="1">
      <x:alignment horizontal="center"/>
    </x:xf>
    <x:xf numFmtId="0" fontId="7" fillId="4" borderId="16" xfId="0" applyNumberFormat="1" applyFont="1" applyFill="1" applyBorder="1" applyAlignment="1">
      <x:alignment horizontal="center"/>
    </x:xf>
    <x:xf numFmtId="0" fontId="7" fillId="4" borderId="17" xfId="0" applyNumberFormat="1" applyFont="1" applyFill="1" applyBorder="1" applyAlignment="1">
      <x:alignment horizontal="center"/>
    </x:xf>
    <x:xf numFmtId="0" fontId="7" fillId="4" borderId="18" xfId="0" applyNumberFormat="1" applyFont="1" applyFill="1" applyBorder="1" applyAlignment="1">
      <x:alignment horizontal="center"/>
    </x:xf>
    <x:xf numFmtId="0" fontId="7" fillId="4" borderId="19" xfId="0" applyNumberFormat="1" applyFont="1" applyFill="1" applyBorder="1" applyAlignment="1">
      <x:alignment horizontal="center"/>
    </x:xf>
    <x:xf numFmtId="0" fontId="7" fillId="4" borderId="14" xfId="0" applyNumberFormat="1" applyFont="1" applyFill="1" applyBorder="1" applyAlignment="1">
      <x:alignment horizontal="center" vertical="center"/>
    </x:xf>
    <x:xf numFmtId="0" fontId="7" fillId="4" borderId="15" xfId="0" applyNumberFormat="1" applyFont="1" applyFill="1" applyBorder="1" applyAlignment="1">
      <x:alignment horizontal="center" vertical="center"/>
    </x:xf>
    <x:xf numFmtId="0" fontId="7" fillId="4" borderId="16" xfId="0" applyNumberFormat="1" applyFont="1" applyFill="1" applyBorder="1" applyAlignment="1">
      <x:alignment horizontal="center" vertical="center"/>
    </x:xf>
    <x:xf numFmtId="0" fontId="7" fillId="4" borderId="17" xfId="0" applyNumberFormat="1" applyFont="1" applyFill="1" applyBorder="1" applyAlignment="1">
      <x:alignment horizontal="center" vertical="center"/>
    </x:xf>
    <x:xf numFmtId="0" fontId="7" fillId="4" borderId="18" xfId="0" applyNumberFormat="1" applyFont="1" applyFill="1" applyBorder="1" applyAlignment="1">
      <x:alignment horizontal="center" vertical="center"/>
    </x:xf>
    <x:xf numFmtId="0" fontId="7" fillId="4" borderId="1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3" xfId="0" applyNumberFormat="1" applyFont="1" applyFill="1" applyBorder="1"/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10" xfId="0" applyNumberFormat="1" applyFont="1" applyFill="1" applyBorder="1" applyAlignment="1">
      <x:alignment horizontal="center"/>
    </x:xf>
    <x:xf numFmtId="0" fontId="7" fillId="7" borderId="11" xfId="0" applyNumberFormat="1" applyFont="1" applyFill="1" applyBorder="1" applyAlignment="1">
      <x:alignment horizontal="center"/>
    </x:xf>
    <x:xf numFmtId="0" fontId="7" fillId="7" borderId="12" xfId="0" applyNumberFormat="1" applyFont="1" applyFill="1" applyBorder="1" applyAlignment="1">
      <x:alignment horizontal="center"/>
    </x:xf>
    <x:xf numFmtId="0" fontId="7" fillId="7" borderId="13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7" fillId="7" borderId="10" xfId="0" applyNumberFormat="1" applyFont="1" applyFill="1" applyBorder="1" applyAlignment="1">
      <x:alignment horizontal="center" vertical="center"/>
    </x:xf>
    <x:xf numFmtId="0" fontId="7" fillId="7" borderId="11" xfId="0" applyNumberFormat="1" applyFont="1" applyFill="1" applyBorder="1" applyAlignment="1">
      <x:alignment horizontal="center" vertical="center"/>
    </x:xf>
    <x:xf numFmtId="0" fontId="7" fillId="7" borderId="12" xfId="0" applyNumberFormat="1" applyFont="1" applyFill="1" applyBorder="1" applyAlignment="1">
      <x:alignment horizontal="center" vertical="center"/>
    </x:xf>
    <x:xf numFmtId="0" fontId="7" fillId="7" borderId="13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14" xfId="0" applyNumberFormat="1" applyFont="1" applyFill="1" applyBorder="1"/>
    <x:xf numFmtId="0" fontId="7" fillId="7" borderId="15" xfId="0" applyNumberFormat="1" applyFont="1" applyFill="1" applyBorder="1"/>
    <x:xf numFmtId="0" fontId="7" fillId="7" borderId="16" xfId="0" applyNumberFormat="1" applyFont="1" applyFill="1" applyBorder="1"/>
    <x:xf numFmtId="0" fontId="7" fillId="7" borderId="17" xfId="0" applyNumberFormat="1" applyFont="1" applyFill="1" applyBorder="1"/>
    <x:xf numFmtId="0" fontId="7" fillId="7" borderId="18" xfId="0" applyNumberFormat="1" applyFont="1" applyFill="1" applyBorder="1"/>
    <x:xf numFmtId="0" fontId="7" fillId="7" borderId="19" xfId="0" applyNumberFormat="1" applyFont="1" applyFill="1" applyBorder="1"/>
    <x:xf numFmtId="0" fontId="7" fillId="7" borderId="14" xfId="0" applyNumberFormat="1" applyFont="1" applyFill="1" applyBorder="1" applyAlignment="1">
      <x:alignment horizontal="center"/>
    </x:xf>
    <x:xf numFmtId="0" fontId="7" fillId="7" borderId="15" xfId="0" applyNumberFormat="1" applyFont="1" applyFill="1" applyBorder="1" applyAlignment="1">
      <x:alignment horizontal="center"/>
    </x:xf>
    <x:xf numFmtId="0" fontId="7" fillId="7" borderId="16" xfId="0" applyNumberFormat="1" applyFont="1" applyFill="1" applyBorder="1" applyAlignment="1">
      <x:alignment horizontal="center"/>
    </x:xf>
    <x:xf numFmtId="0" fontId="7" fillId="7" borderId="17" xfId="0" applyNumberFormat="1" applyFont="1" applyFill="1" applyBorder="1" applyAlignment="1">
      <x:alignment horizontal="center"/>
    </x:xf>
    <x:xf numFmtId="0" fontId="7" fillId="7" borderId="18" xfId="0" applyNumberFormat="1" applyFont="1" applyFill="1" applyBorder="1" applyAlignment="1">
      <x:alignment horizontal="center"/>
    </x:xf>
    <x:xf numFmtId="0" fontId="7" fillId="7" borderId="19" xfId="0" applyNumberFormat="1" applyFont="1" applyFill="1" applyBorder="1" applyAlignment="1">
      <x:alignment horizontal="center"/>
    </x:xf>
    <x:xf numFmtId="0" fontId="7" fillId="7" borderId="14" xfId="0" applyNumberFormat="1" applyFont="1" applyFill="1" applyBorder="1" applyAlignment="1">
      <x:alignment horizontal="center" vertical="center"/>
    </x:xf>
    <x:xf numFmtId="0" fontId="7" fillId="7" borderId="15" xfId="0" applyNumberFormat="1" applyFont="1" applyFill="1" applyBorder="1" applyAlignment="1">
      <x:alignment horizontal="center" vertical="center"/>
    </x:xf>
    <x:xf numFmtId="0" fontId="7" fillId="7" borderId="16" xfId="0" applyNumberFormat="1" applyFont="1" applyFill="1" applyBorder="1" applyAlignment="1">
      <x:alignment horizontal="center" vertical="center"/>
    </x:xf>
    <x:xf numFmtId="0" fontId="7" fillId="7" borderId="17" xfId="0" applyNumberFormat="1" applyFont="1" applyFill="1" applyBorder="1" applyAlignment="1">
      <x:alignment horizontal="center" vertical="center"/>
    </x:xf>
    <x:xf numFmtId="0" fontId="7" fillId="7" borderId="18" xfId="0" applyNumberFormat="1" applyFont="1" applyFill="1" applyBorder="1" applyAlignment="1">
      <x:alignment horizontal="center" vertical="center"/>
    </x:xf>
    <x:xf numFmtId="0" fontId="7" fillId="7" borderId="19" xfId="0" applyNumberFormat="1" applyFont="1" applyFill="1" applyBorder="1" applyAlignment="1">
      <x:alignment horizontal="center" vertical="center"/>
    </x:xf>
    <x:xf numFmtId="200" fontId="7" fillId="6" borderId="8" xfId="0" applyNumberFormat="1" applyFont="1" applyFill="1" applyBorder="1" applyAlignment="1">
      <x:alignment horizontal="center" vertical="center"/>
    </x:xf>
    <x:xf numFmtId="200" fontId="7" fillId="6" borderId="9" xfId="0" applyNumberFormat="1" applyFont="1" applyFill="1" applyBorder="1" applyAlignment="1">
      <x:alignment horizontal="center" vertical="center"/>
    </x:xf>
    <x:xf numFmtId="200" fontId="7" fillId="6" borderId="10" xfId="0" applyNumberFormat="1" applyFont="1" applyFill="1" applyBorder="1" applyAlignment="1">
      <x:alignment horizontal="center" vertical="center"/>
    </x:xf>
    <x:xf numFmtId="200" fontId="7" fillId="6" borderId="11" xfId="0" applyNumberFormat="1" applyFont="1" applyFill="1" applyBorder="1" applyAlignment="1">
      <x:alignment horizontal="center" vertical="center"/>
    </x:xf>
    <x:xf numFmtId="200" fontId="7" fillId="6" borderId="12" xfId="0" applyNumberFormat="1" applyFont="1" applyFill="1" applyBorder="1" applyAlignment="1">
      <x:alignment horizontal="center" vertical="center"/>
    </x:xf>
    <x:xf numFmtId="200" fontId="7" fillId="6" borderId="13" xfId="0" applyNumberFormat="1" applyFont="1" applyFill="1" applyBorder="1" applyAlignment="1">
      <x:alignment horizontal="center" vertical="center"/>
    </x:xf>
    <x:xf numFmtId="200" fontId="7" fillId="6" borderId="14" xfId="0" applyNumberFormat="1" applyFont="1" applyFill="1" applyBorder="1" applyAlignment="1">
      <x:alignment horizontal="center" vertical="center"/>
    </x:xf>
    <x:xf numFmtId="200" fontId="7" fillId="6" borderId="15" xfId="0" applyNumberFormat="1" applyFont="1" applyFill="1" applyBorder="1" applyAlignment="1">
      <x:alignment horizontal="center" vertical="center"/>
    </x:xf>
    <x:xf numFmtId="200" fontId="7" fillId="6" borderId="16" xfId="0" applyNumberFormat="1" applyFont="1" applyFill="1" applyBorder="1" applyAlignment="1">
      <x:alignment horizontal="center" vertical="center"/>
    </x:xf>
    <x:xf numFmtId="200" fontId="7" fillId="6" borderId="17" xfId="0" applyNumberFormat="1" applyFont="1" applyFill="1" applyBorder="1" applyAlignment="1">
      <x:alignment horizontal="center" vertical="center"/>
    </x:xf>
    <x:xf numFmtId="200" fontId="7" fillId="6" borderId="18" xfId="0" applyNumberFormat="1" applyFont="1" applyFill="1" applyBorder="1" applyAlignment="1">
      <x:alignment horizontal="center" vertical="center"/>
    </x:xf>
    <x:xf numFmtId="200" fontId="7" fillId="6" borderId="19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horizont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horizont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0" xfId="0" applyNumberFormat="1" applyFont="1" applyFill="1" applyBorder="1"/>
    <x:xf numFmtId="0" fontId="0" fillId="0" borderId="0" xfId="0" applyNumberFormat="1" applyFont="1" applyFill="1" applyBorder="1"/>
    <x:xf numFmtId="0" fontId="0" fillId="0" borderId="2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9" xfId="0" applyNumberFormat="1" applyFont="1" applyFill="1" applyBorder="1"/>
    <x:xf numFmtId="200" fontId="0" fillId="0" borderId="0" xfId="0" applyNumberFormat="1" applyFont="1" applyFill="1" applyBorder="1"/>
    <x:xf numFmtId="200" fontId="0" fillId="0" borderId="12" xfId="0" applyNumberFormat="1" applyFont="1" applyFill="1" applyBorder="1"/>
    <x:xf numFmtId="200" fontId="0" fillId="0" borderId="15" xfId="0" applyNumberFormat="1" applyFont="1" applyFill="1" applyBorder="1"/>
    <x:xf numFmtId="200" fontId="0" fillId="0" borderId="1" xfId="0" applyNumberFormat="1" applyFont="1" applyFill="1" applyBorder="1"/>
    <x:xf numFmtId="200" fontId="0" fillId="0" borderId="18" xfId="0" applyNumberFormat="1" applyFont="1" applyFill="1" applyBorder="1"/>
    <x:xf numFmtId="0" fontId="4" fillId="8" borderId="8" xfId="0" applyNumberFormat="1" applyFont="1" applyFill="1" applyBorder="1" applyAlignment="1">
      <x:alignment horizontal="center" vertical="center" wrapText="1"/>
    </x:xf>
    <x:xf numFmtId="0" fontId="4" fillId="8" borderId="10" xfId="0" applyNumberFormat="1" applyFont="1" applyFill="1" applyBorder="1" applyAlignment="1">
      <x:alignment horizontal="center" vertical="center" wrapText="1"/>
    </x:xf>
    <x:xf numFmtId="200" fontId="0" fillId="0" borderId="21" xfId="0" applyNumberFormat="1" applyFont="1" applyFill="1" applyBorder="1"/>
    <x:xf numFmtId="200" fontId="0" fillId="0" borderId="13" xfId="0" applyNumberFormat="1" applyFont="1" applyFill="1" applyBorder="1"/>
    <x:xf numFmtId="0" fontId="4" fillId="8" borderId="14" xfId="0" applyNumberFormat="1" applyFont="1" applyFill="1" applyBorder="1" applyAlignment="1">
      <x:alignment horizontal="center" vertic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200" fontId="0" fillId="0" borderId="23" xfId="0" applyNumberFormat="1" applyFont="1" applyFill="1" applyBorder="1"/>
    <x:xf numFmtId="200" fontId="0" fillId="0" borderId="19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2" xfId="0" applyNumberFormat="1" applyFont="1" applyFill="1" applyBorder="1"/>
    <x:xf numFmtId="0" fontId="9" fillId="9" borderId="3" xfId="0" applyNumberFormat="1" applyFont="1" applyFill="1" applyBorder="1"/>
    <x:xf numFmtId="0" fontId="9" fillId="9" borderId="4" xfId="0" applyNumberFormat="1" applyFont="1" applyFill="1" applyBorder="1"/>
    <x:xf numFmtId="0" fontId="9" fillId="9" borderId="2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/>
    </x:xf>
    <x:xf numFmtId="0" fontId="9" fillId="9" borderId="4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9" fillId="9" borderId="5" xfId="0" applyNumberFormat="1" applyFont="1" applyFill="1" applyBorder="1"/>
    <x:xf numFmtId="0" fontId="9" fillId="9" borderId="6" xfId="0" applyNumberFormat="1" applyFont="1" applyFill="1" applyBorder="1"/>
    <x:xf numFmtId="0" fontId="9" fillId="9" borderId="7" xfId="0" applyNumberFormat="1" applyFont="1" applyFill="1" applyBorder="1"/>
    <x:xf numFmtId="0" fontId="9" fillId="9" borderId="5" xfId="0" applyNumberFormat="1" applyFont="1" applyFill="1" applyBorder="1" applyAlignment="1">
      <x:alignment horizontal="center"/>
    </x:xf>
    <x:xf numFmtId="0" fontId="9" fillId="9" borderId="6" xfId="0" applyNumberFormat="1" applyFont="1" applyFill="1" applyBorder="1" applyAlignment="1">
      <x:alignment horizontal="center"/>
    </x:xf>
    <x:xf numFmtId="0" fontId="9" fillId="9" borderId="7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10" xfId="0" applyNumberFormat="1" applyFont="1" applyFill="1" applyBorder="1"/>
    <x:xf numFmtId="201" fontId="0" fillId="0" borderId="21" xfId="0" applyNumberFormat="1" applyFont="1" applyFill="1" applyBorder="1"/>
    <x:xf numFmtId="201" fontId="0" fillId="0" borderId="13" xfId="0" applyNumberFormat="1" applyFont="1" applyFill="1" applyBorder="1"/>
    <x:xf numFmtId="201" fontId="0" fillId="0" borderId="16" xfId="0" applyNumberFormat="1" applyFont="1" applyFill="1" applyBorder="1"/>
    <x:xf numFmtId="201" fontId="0" fillId="0" borderId="23" xfId="0" applyNumberFormat="1" applyFont="1" applyFill="1" applyBorder="1"/>
    <x:xf numFmtId="201" fontId="0" fillId="0" borderId="19" xfId="0" applyNumberFormat="1" applyFont="1" applyFill="1" applyBorder="1"/>
    <x:xf numFmtId="0" fontId="0" fillId="2" borderId="20" xfId="0" applyNumberFormat="1" applyFont="1" applyFill="1" applyBorder="1"/>
    <x:xf numFmtId="200" fontId="0" fillId="2" borderId="21" xfId="0" applyNumberFormat="1" applyFont="1" applyFill="1" applyBorder="1"/>
    <x:xf numFmtId="0" fontId="3" fillId="2" borderId="20" xfId="0" applyNumberFormat="1" applyFont="1" applyFill="1" applyBorder="1"/>
    <x:xf numFmtId="200" fontId="3" fillId="2" borderId="21" xfId="0" applyNumberFormat="1" applyFont="1" applyFill="1" applyBorder="1"/>
    <x:xf numFmtId="0" fontId="3" fillId="2" borderId="20" xfId="0" applyNumberFormat="1" applyFont="1" applyFill="1" applyBorder="1" applyAlignment="1">
      <x:alignment horizontal="left"/>
    </x:xf>
    <x:xf numFmtId="200" fontId="3" fillId="2" borderId="21" xfId="0" applyNumberFormat="1" applyFont="1" applyFill="1" applyBorder="1" applyAlignment="1">
      <x:alignment horizontal="left"/>
    </x:xf>
    <x:xf numFmtId="0" fontId="3" fillId="2" borderId="20" xfId="0" applyNumberFormat="1" applyFont="1" applyFill="1" applyBorder="1" applyAlignment="1">
      <x:alignment horizontal="left" vertical="center"/>
    </x:xf>
    <x:xf numFmtId="200" fontId="3" fillId="2" borderId="21" xfId="0" applyNumberFormat="1" applyFont="1" applyFill="1" applyBorder="1" applyAlignment="1">
      <x:alignment horizontal="left" vertical="center"/>
    </x:xf>
    <x:xf numFmtId="0" fontId="0" fillId="2" borderId="22" xfId="0" applyNumberFormat="1" applyFont="1" applyFill="1" applyBorder="1"/>
    <x:xf numFmtId="200" fontId="0" fillId="2" borderId="23" xfId="0" applyNumberFormat="1" applyFont="1" applyFill="1" applyBorder="1"/>
    <x:xf numFmtId="0" fontId="3" fillId="2" borderId="22" xfId="0" applyNumberFormat="1" applyFont="1" applyFill="1" applyBorder="1"/>
    <x:xf numFmtId="200" fontId="3" fillId="2" borderId="23" xfId="0" applyNumberFormat="1" applyFont="1" applyFill="1" applyBorder="1"/>
    <x:xf numFmtId="0" fontId="3" fillId="2" borderId="22" xfId="0" applyNumberFormat="1" applyFont="1" applyFill="1" applyBorder="1" applyAlignment="1">
      <x:alignment horizontal="left"/>
    </x:xf>
    <x:xf numFmtId="200" fontId="3" fillId="2" borderId="23" xfId="0" applyNumberFormat="1" applyFont="1" applyFill="1" applyBorder="1" applyAlignment="1">
      <x:alignment horizontal="left"/>
    </x:xf>
    <x:xf numFmtId="0" fontId="3" fillId="2" borderId="22" xfId="0" applyNumberFormat="1" applyFont="1" applyFill="1" applyBorder="1" applyAlignment="1">
      <x:alignment horizontal="left" vertical="center"/>
    </x:xf>
    <x:xf numFmtId="200" fontId="3" fillId="2" borderId="23" xfId="0" applyNumberFormat="1" applyFont="1" applyFill="1" applyBorder="1" applyAlignment="1">
      <x:alignment horizontal="left" vertical="center"/>
    </x:xf>
    <x:xf numFmtId="0" fontId="10" fillId="5" borderId="0" xfId="0" applyNumberFormat="1" applyFont="1" applyFill="1" applyBorder="1"/>
    <x:xf numFmtId="0" fontId="10" fillId="5" borderId="24" xfId="0" applyNumberFormat="1" applyFont="1" applyFill="1" applyBorder="1"/>
    <x:xf numFmtId="0" fontId="10" fillId="5" borderId="25" xfId="0" applyNumberFormat="1" applyFont="1" applyFill="1" applyBorder="1"/>
    <x:xf numFmtId="0" fontId="10" fillId="5" borderId="26" xfId="0" applyNumberFormat="1" applyFont="1" applyFill="1" applyBorder="1"/>
    <x:xf numFmtId="0" fontId="10" fillId="5" borderId="24" xfId="0" applyNumberFormat="1" applyFont="1" applyFill="1" applyBorder="1" applyAlignment="1">
      <x:alignment wrapText="1"/>
    </x:xf>
    <x:xf numFmtId="0" fontId="10" fillId="5" borderId="25" xfId="0" applyNumberFormat="1" applyFont="1" applyFill="1" applyBorder="1" applyAlignment="1">
      <x:alignment wrapText="1"/>
    </x:xf>
    <x:xf numFmtId="0" fontId="10" fillId="5" borderId="26" xfId="0" applyNumberFormat="1" applyFont="1" applyFill="1" applyBorder="1" applyAlignment="1">
      <x:alignment wrapText="1"/>
    </x:xf>
    <x:xf numFmtId="0" fontId="10" fillId="5" borderId="1" xfId="0" applyNumberFormat="1" applyFont="1" applyFill="1" applyBorder="1"/>
    <x:xf numFmtId="0" fontId="10" fillId="5" borderId="27" xfId="0" applyNumberFormat="1" applyFont="1" applyFill="1" applyBorder="1"/>
    <x:xf numFmtId="0" fontId="10" fillId="5" borderId="28" xfId="0" applyNumberFormat="1" applyFont="1" applyFill="1" applyBorder="1"/>
    <x:xf numFmtId="0" fontId="10" fillId="5" borderId="29" xfId="0" applyNumberFormat="1" applyFont="1" applyFill="1" applyBorder="1"/>
    <x:xf numFmtId="0" fontId="10" fillId="5" borderId="27" xfId="0" applyNumberFormat="1" applyFont="1" applyFill="1" applyBorder="1" applyAlignment="1">
      <x:alignment wrapText="1"/>
    </x:xf>
    <x:xf numFmtId="0" fontId="10" fillId="5" borderId="28" xfId="0" applyNumberFormat="1" applyFont="1" applyFill="1" applyBorder="1" applyAlignment="1">
      <x:alignment wrapText="1"/>
    </x:xf>
    <x:xf numFmtId="0" fontId="10" fillId="5" borderId="29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24" xfId="0" applyNumberFormat="1" applyFont="1" applyFill="1" applyBorder="1"/>
    <x:xf numFmtId="0" fontId="10" fillId="10" borderId="25" xfId="0" applyNumberFormat="1" applyFont="1" applyFill="1" applyBorder="1"/>
    <x:xf numFmtId="0" fontId="10" fillId="10" borderId="26" xfId="0" applyNumberFormat="1" applyFont="1" applyFill="1" applyBorder="1"/>
    <x:xf numFmtId="0" fontId="10" fillId="10" borderId="24" xfId="0" applyNumberFormat="1" applyFont="1" applyFill="1" applyBorder="1" applyAlignment="1">
      <x:alignment wrapText="1"/>
    </x:xf>
    <x:xf numFmtId="0" fontId="10" fillId="10" borderId="25" xfId="0" applyNumberFormat="1" applyFont="1" applyFill="1" applyBorder="1" applyAlignment="1">
      <x:alignment wrapText="1"/>
    </x:xf>
    <x:xf numFmtId="0" fontId="10" fillId="10" borderId="26" xfId="0" applyNumberFormat="1" applyFont="1" applyFill="1" applyBorder="1" applyAlignment="1">
      <x:alignment wrapText="1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27" xfId="0" applyNumberFormat="1" applyFont="1" applyFill="1" applyBorder="1"/>
    <x:xf numFmtId="0" fontId="10" fillId="10" borderId="28" xfId="0" applyNumberFormat="1" applyFont="1" applyFill="1" applyBorder="1"/>
    <x:xf numFmtId="0" fontId="10" fillId="10" borderId="29" xfId="0" applyNumberFormat="1" applyFont="1" applyFill="1" applyBorder="1"/>
    <x:xf numFmtId="0" fontId="10" fillId="10" borderId="27" xfId="0" applyNumberFormat="1" applyFont="1" applyFill="1" applyBorder="1" applyAlignment="1">
      <x:alignment wrapText="1"/>
    </x:xf>
    <x:xf numFmtId="0" fontId="10" fillId="10" borderId="28" xfId="0" applyNumberFormat="1" applyFont="1" applyFill="1" applyBorder="1" applyAlignment="1">
      <x:alignment wrapText="1"/>
    </x:xf>
    <x:xf numFmtId="0" fontId="10" fillId="10" borderId="29" xfId="0" applyNumberFormat="1" applyFont="1" applyFill="1" applyBorder="1" applyAlignment="1">
      <x:alignment wrapText="1"/>
    </x:xf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horizontal="center"/>
    </x:xf>
    <x:xf numFmtId="0" fontId="11" fillId="2" borderId="0" xfId="0" applyNumberFormat="1" applyFont="1" applyFill="1" applyBorder="1" applyAlignment="1">
      <x:alignment horizontal="center" vertical="center"/>
    </x:xf>
    <x:xf numFmtId="0" fontId="11" fillId="2" borderId="1" xfId="0" applyNumberFormat="1" applyFont="1" applyFill="1" applyBorder="1"/>
    <x:xf numFmtId="0" fontId="11" fillId="2" borderId="1" xfId="0" applyNumberFormat="1" applyFont="1" applyFill="1" applyBorder="1" applyAlignment="1">
      <x:alignment horizontal="center"/>
    </x:xf>
    <x:xf numFmtId="0" fontId="11" fillId="2" borderId="1" xfId="0" applyNumberFormat="1" applyFont="1" applyFill="1" applyBorder="1" applyAlignment="1">
      <x:alignment horizontal="center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wrapText="1"/>
    </x:xf>
    <x:xf numFmtId="0" fontId="12" fillId="3" borderId="0" xfId="0" applyNumberFormat="1" applyFont="1" applyFill="1" applyBorder="1" applyAlignment="1">
      <x:alignment horizontal="center" wrapText="1"/>
    </x:xf>
    <x:xf numFmtId="0" fontId="12" fillId="3" borderId="1" xfId="0" applyNumberFormat="1" applyFont="1" applyFill="1" applyBorder="1"/>
    <x:xf numFmtId="0" fontId="12" fillId="3" borderId="1" xfId="0" applyNumberFormat="1" applyFont="1" applyFill="1" applyBorder="1" applyAlignment="1">
      <x:alignment wrapText="1"/>
    </x:xf>
    <x:xf numFmtId="0" fontId="12" fillId="3" borderId="1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8" xfId="0" applyNumberFormat="1" applyFont="1" applyFill="1" applyBorder="1"/>
    <x:xf numFmtId="202" fontId="0" fillId="0" borderId="20" xfId="0" applyNumberFormat="1" applyFont="1" applyFill="1" applyBorder="1"/>
    <x:xf numFmtId="202" fontId="0" fillId="0" borderId="14" xfId="0" applyNumberFormat="1" applyFont="1" applyFill="1" applyBorder="1"/>
    <x:xf numFmtId="202" fontId="0" fillId="0" borderId="22" xfId="0" applyNumberFormat="1" applyFont="1" applyFill="1" applyBorder="1"/>
    <x:xf numFmtId="202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10" xfId="0" applyNumberFormat="1" applyFont="1" applyFill="1" applyBorder="1"/>
    <x:xf numFmtId="202" fontId="13" fillId="0" borderId="20" xfId="0" applyNumberFormat="1" applyFont="1" applyFill="1" applyBorder="1"/>
    <x:xf numFmtId="0" fontId="13" fillId="0" borderId="0" xfId="0" applyNumberFormat="1" applyFont="1" applyFill="1" applyBorder="1"/>
    <x:xf numFmtId="0" fontId="13" fillId="0" borderId="21" xfId="0" applyNumberFormat="1" applyFont="1" applyFill="1" applyBorder="1"/>
    <x:xf numFmtId="0" fontId="13" fillId="0" borderId="20" xfId="0" applyNumberFormat="1" applyFont="1" applyFill="1" applyBorder="1"/>
    <x:xf numFmtId="0" fontId="13" fillId="0" borderId="11" xfId="0" applyNumberFormat="1" applyFont="1" applyFill="1" applyBorder="1"/>
    <x:xf numFmtId="0" fontId="13" fillId="0" borderId="12" xfId="0" applyNumberFormat="1" applyFont="1" applyFill="1" applyBorder="1"/>
    <x:xf numFmtId="0" fontId="13" fillId="0" borderId="13" xfId="0" applyNumberFormat="1" applyFont="1" applyFill="1" applyBorder="1"/>
    <x:xf numFmtId="202" fontId="13" fillId="0" borderId="14" xfId="0" applyNumberFormat="1" applyFont="1" applyFill="1" applyBorder="1"/>
    <x:xf numFmtId="0" fontId="13" fillId="0" borderId="15" xfId="0" applyNumberFormat="1" applyFont="1" applyFill="1" applyBorder="1"/>
    <x:xf numFmtId="0" fontId="13" fillId="0" borderId="16" xfId="0" applyNumberFormat="1" applyFont="1" applyFill="1" applyBorder="1"/>
    <x:xf numFmtId="202" fontId="13" fillId="0" borderId="22" xfId="0" applyNumberFormat="1" applyFont="1" applyFill="1" applyBorder="1"/>
    <x:xf numFmtId="0" fontId="13" fillId="0" borderId="1" xfId="0" applyNumberFormat="1" applyFont="1" applyFill="1" applyBorder="1"/>
    <x:xf numFmtId="0" fontId="13" fillId="0" borderId="23" xfId="0" applyNumberFormat="1" applyFont="1" applyFill="1" applyBorder="1"/>
    <x:xf numFmtId="0" fontId="13" fillId="0" borderId="22" xfId="0" applyNumberFormat="1" applyFont="1" applyFill="1" applyBorder="1"/>
    <x:xf numFmtId="0" fontId="13" fillId="0" borderId="17" xfId="0" applyNumberFormat="1" applyFont="1" applyFill="1" applyBorder="1"/>
    <x:xf numFmtId="0" fontId="13" fillId="0" borderId="18" xfId="0" applyNumberFormat="1" applyFont="1" applyFill="1" applyBorder="1"/>
    <x:xf numFmtId="0" fontId="13" fillId="0" borderId="19" xfId="0" applyNumberFormat="1" applyFont="1" applyFill="1" applyBorder="1"/>
    <x:xf numFmtId="0" fontId="3" fillId="2" borderId="30" xfId="0" applyNumberFormat="1" applyFont="1" applyFill="1" applyBorder="1"/>
    <x:xf numFmtId="0" fontId="3" fillId="2" borderId="30" xfId="0" applyNumberFormat="1" applyFont="1" applyFill="1" applyBorder="1" applyAlignment="1">
      <x:alignment horizontal="center"/>
    </x:xf>
    <x:xf numFmtId="0" fontId="3" fillId="2" borderId="30" xfId="0" applyNumberFormat="1" applyFont="1" applyFill="1" applyBorder="1" applyAlignment="1">
      <x:alignment horizontal="center" vertical="center"/>
    </x:xf>
    <x:xf numFmtId="0" fontId="3" fillId="2" borderId="31" xfId="0" applyNumberFormat="1" applyFont="1" applyFill="1" applyBorder="1"/>
    <x:xf numFmtId="0" fontId="3" fillId="2" borderId="31" xfId="0" applyNumberFormat="1" applyFont="1" applyFill="1" applyBorder="1" applyAlignment="1">
      <x:alignment horizontal="center"/>
    </x:xf>
    <x:xf numFmtId="0" fontId="3" fillId="2" borderId="31" xfId="0" applyNumberFormat="1" applyFont="1" applyFill="1" applyBorder="1" applyAlignment="1">
      <x:alignment horizontal="center" vertical="center"/>
    </x:xf>
    <x:xf numFmtId="0" fontId="14" fillId="4" borderId="0" xfId="0" applyNumberFormat="1" applyFont="1" applyFill="1" applyBorder="1"/>
    <x:xf numFmtId="0" fontId="14" fillId="4" borderId="30" xfId="0" applyNumberFormat="1" applyFont="1" applyFill="1" applyBorder="1"/>
    <x:xf numFmtId="0" fontId="14" fillId="4" borderId="30" xfId="0" applyNumberFormat="1" applyFont="1" applyFill="1" applyBorder="1" applyAlignment="1">
      <x:alignment wrapText="1"/>
    </x:xf>
    <x:xf numFmtId="0" fontId="14" fillId="4" borderId="30" xfId="0" applyNumberFormat="1" applyFont="1" applyFill="1" applyBorder="1" applyAlignment="1">
      <x:alignment horizontal="center" wrapText="1"/>
    </x:xf>
    <x:xf numFmtId="0" fontId="14" fillId="4" borderId="30" xfId="0" applyNumberFormat="1" applyFont="1" applyFill="1" applyBorder="1" applyAlignment="1">
      <x:alignment horizontal="center" vertical="center" wrapText="1"/>
    </x:xf>
    <x:xf numFmtId="0" fontId="14" fillId="4" borderId="1" xfId="0" applyNumberFormat="1" applyFont="1" applyFill="1" applyBorder="1"/>
    <x:xf numFmtId="0" fontId="14" fillId="4" borderId="31" xfId="0" applyNumberFormat="1" applyFont="1" applyFill="1" applyBorder="1"/>
    <x:xf numFmtId="0" fontId="14" fillId="4" borderId="31" xfId="0" applyNumberFormat="1" applyFont="1" applyFill="1" applyBorder="1" applyAlignment="1">
      <x:alignment wrapText="1"/>
    </x:xf>
    <x:xf numFmtId="0" fontId="14" fillId="4" borderId="31" xfId="0" applyNumberFormat="1" applyFont="1" applyFill="1" applyBorder="1" applyAlignment="1">
      <x:alignment horizontal="center" wrapText="1"/>
    </x:xf>
    <x:xf numFmtId="0" fontId="14" fillId="4" borderId="31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4" fillId="8" borderId="15" xfId="0" applyNumberFormat="1" applyFont="1" applyFill="1" applyBorder="1" applyAlignment="1">
      <x:alignment horizontal="center" vertical="center" wrapText="1"/>
    </x:xf>
    <x:xf numFmtId="202" fontId="0" fillId="0" borderId="12" xfId="0" applyNumberFormat="1" applyFont="1" applyFill="1" applyBorder="1"/>
    <x:xf numFmtId="202" fontId="0" fillId="0" borderId="18" xfId="0" applyNumberFormat="1" applyFont="1" applyFill="1" applyBorder="1"/>
    <x:xf numFmtId="202" fontId="0" fillId="0" borderId="11" xfId="0" applyNumberFormat="1" applyFont="1" applyFill="1" applyBorder="1"/>
    <x:xf numFmtId="202" fontId="0" fillId="0" borderId="17" xfId="0" applyNumberFormat="1" applyFont="1" applyFill="1" applyBorder="1"/>
    <x:xf numFmtId="202" fontId="0" fillId="9" borderId="20" xfId="0" applyNumberFormat="1" applyFont="1" applyFill="1" applyBorder="1"/>
    <x:xf numFmtId="0" fontId="0" fillId="9" borderId="21" xfId="0" applyNumberFormat="1" applyFont="1" applyFill="1" applyBorder="1"/>
    <x:xf numFmtId="202" fontId="0" fillId="9" borderId="11" xfId="0" applyNumberFormat="1" applyFont="1" applyFill="1" applyBorder="1"/>
    <x:xf numFmtId="0" fontId="0" fillId="9" borderId="12" xfId="0" applyNumberFormat="1" applyFont="1" applyFill="1" applyBorder="1"/>
    <x:xf numFmtId="0" fontId="0" fillId="9" borderId="13" xfId="0" applyNumberFormat="1" applyFont="1" applyFill="1" applyBorder="1"/>
    <x:xf numFmtId="202" fontId="0" fillId="9" borderId="22" xfId="0" applyNumberFormat="1" applyFont="1" applyFill="1" applyBorder="1"/>
    <x:xf numFmtId="0" fontId="0" fillId="9" borderId="23" xfId="0" applyNumberFormat="1" applyFont="1" applyFill="1" applyBorder="1"/>
    <x:xf numFmtId="202" fontId="0" fillId="9" borderId="17" xfId="0" applyNumberFormat="1" applyFont="1" applyFill="1" applyBorder="1"/>
    <x:xf numFmtId="0" fontId="0" fillId="9" borderId="18" xfId="0" applyNumberFormat="1" applyFont="1" applyFill="1" applyBorder="1"/>
    <x:xf numFmtId="0" fontId="0" fillId="9" borderId="19" xfId="0" applyNumberFormat="1" applyFont="1" applyFill="1" applyBorder="1"/>
    <x:xf numFmtId="202" fontId="0" fillId="4" borderId="20" xfId="0" applyNumberFormat="1" applyFont="1" applyFill="1" applyBorder="1"/>
    <x:xf numFmtId="0" fontId="0" fillId="4" borderId="21" xfId="0" applyNumberFormat="1" applyFont="1" applyFill="1" applyBorder="1"/>
    <x:xf numFmtId="202" fontId="5" fillId="4" borderId="20" xfId="0" applyNumberFormat="1" applyFont="1" applyFill="1" applyBorder="1"/>
    <x:xf numFmtId="0" fontId="5" fillId="4" borderId="2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202" fontId="5" fillId="4" borderId="20" xfId="0" applyNumberFormat="1" applyFont="1" applyFill="1" applyBorder="1" applyAlignment="1">
      <x:alignment wrapText="1"/>
    </x:xf>
    <x:xf numFmtId="0" fontId="5" fillId="4" borderId="21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202" fontId="5" fillId="4" borderId="20" xfId="0" applyNumberFormat="1" applyFont="1" applyFill="1" applyBorder="1" applyAlignment="1">
      <x:alignment horizontal="center" wrapText="1"/>
    </x:xf>
    <x:xf numFmtId="0" fontId="5" fillId="4" borderId="21" xfId="0" applyNumberFormat="1" applyFont="1" applyFill="1" applyBorder="1" applyAlignment="1">
      <x:alignment horizontal="center" wrapText="1"/>
    </x:xf>
    <x:xf numFmtId="202" fontId="0" fillId="4" borderId="22" xfId="0" applyNumberFormat="1" applyFont="1" applyFill="1" applyBorder="1"/>
    <x:xf numFmtId="0" fontId="0" fillId="4" borderId="23" xfId="0" applyNumberFormat="1" applyFont="1" applyFill="1" applyBorder="1"/>
    <x:xf numFmtId="202" fontId="5" fillId="4" borderId="22" xfId="0" applyNumberFormat="1" applyFont="1" applyFill="1" applyBorder="1"/>
    <x:xf numFmtId="0" fontId="5" fillId="4" borderId="23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202" fontId="5" fillId="4" borderId="22" xfId="0" applyNumberFormat="1" applyFont="1" applyFill="1" applyBorder="1" applyAlignment="1">
      <x:alignment wrapText="1"/>
    </x:xf>
    <x:xf numFmtId="0" fontId="5" fillId="4" borderId="23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horizontal="center" wrapText="1"/>
    </x:xf>
    <x:xf numFmtId="202" fontId="5" fillId="4" borderId="22" xfId="0" applyNumberFormat="1" applyFont="1" applyFill="1" applyBorder="1" applyAlignment="1">
      <x:alignment horizontal="center" wrapText="1"/>
    </x:xf>
    <x:xf numFmtId="0" fontId="5" fillId="4" borderId="23" xfId="0" applyNumberFormat="1" applyFont="1" applyFill="1" applyBorder="1" applyAlignment="1">
      <x:alignment horizontal="center" wrapText="1"/>
    </x:xf>
    <x:xf numFmtId="202" fontId="0" fillId="2" borderId="20" xfId="0" applyNumberFormat="1" applyFont="1" applyFill="1" applyBorder="1"/>
    <x:xf numFmtId="0" fontId="0" fillId="2" borderId="21" xfId="0" applyNumberFormat="1" applyFont="1" applyFill="1" applyBorder="1"/>
    <x:xf numFmtId="202" fontId="11" fillId="2" borderId="20" xfId="0" applyNumberFormat="1" applyFont="1" applyFill="1" applyBorder="1"/>
    <x:xf numFmtId="0" fontId="11" fillId="2" borderId="21" xfId="0" applyNumberFormat="1" applyFont="1" applyFill="1" applyBorder="1"/>
    <x:xf numFmtId="202" fontId="11" fillId="2" borderId="20" xfId="0" applyNumberFormat="1" applyFont="1" applyFill="1" applyBorder="1" applyAlignment="1">
      <x:alignment horizontal="center"/>
    </x:xf>
    <x:xf numFmtId="0" fontId="11" fillId="2" borderId="21" xfId="0" applyNumberFormat="1" applyFont="1" applyFill="1" applyBorder="1" applyAlignment="1">
      <x:alignment horizontal="center"/>
    </x:xf>
    <x:xf numFmtId="202" fontId="0" fillId="2" borderId="22" xfId="0" applyNumberFormat="1" applyFont="1" applyFill="1" applyBorder="1"/>
    <x:xf numFmtId="0" fontId="0" fillId="2" borderId="23" xfId="0" applyNumberFormat="1" applyFont="1" applyFill="1" applyBorder="1"/>
    <x:xf numFmtId="202" fontId="11" fillId="2" borderId="22" xfId="0" applyNumberFormat="1" applyFont="1" applyFill="1" applyBorder="1"/>
    <x:xf numFmtId="0" fontId="11" fillId="2" borderId="23" xfId="0" applyNumberFormat="1" applyFont="1" applyFill="1" applyBorder="1"/>
    <x:xf numFmtId="202" fontId="11" fillId="2" borderId="22" xfId="0" applyNumberFormat="1" applyFont="1" applyFill="1" applyBorder="1" applyAlignment="1">
      <x:alignment horizontal="center"/>
    </x:xf>
    <x:xf numFmtId="0" fontId="11" fillId="2" borderId="23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horizontal="center" vertical="center"/>
    </x:xf>
    <x:xf numFmtId="0" fontId="5" fillId="4" borderId="3" xfId="0" applyNumberFormat="1" applyFont="1" applyFill="1" applyBorder="1" applyAlignment="1">
      <x:alignment horizontal="center" vertical="center"/>
    </x:xf>
    <x:xf numFmtId="0" fontId="5" fillId="4" borderId="4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 applyAlignment="1">
      <x:alignment vertical="center"/>
    </x:xf>
    <x:xf numFmtId="200" fontId="0" fillId="0" borderId="2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0" fontId="9" fillId="9" borderId="2" xfId="0" applyNumberFormat="1" applyFont="1" applyFill="1" applyBorder="1" applyAlignment="1">
      <x:alignment horizontal="center" vertical="center"/>
    </x:xf>
    <x:xf numFmtId="201" fontId="0" fillId="0" borderId="10" xfId="0" applyNumberFormat="1" applyFont="1" applyFill="1" applyBorder="1" applyAlignment="1">
      <x:alignment vertical="center"/>
    </x:xf>
    <x:xf numFmtId="0" fontId="10" fillId="5" borderId="24" xfId="0" applyNumberFormat="1" applyFont="1" applyFill="1" applyBorder="1" applyAlignment="1">
      <x:alignment vertical="center" wrapText="1"/>
    </x:xf>
    <x:xf numFmtId="0" fontId="10" fillId="5" borderId="25" xfId="0" applyNumberFormat="1" applyFont="1" applyFill="1" applyBorder="1" applyAlignment="1">
      <x:alignment vertical="center" wrapText="1"/>
    </x:xf>
    <x:xf numFmtId="0" fontId="10" fillId="5" borderId="26" xfId="0" applyNumberFormat="1" applyFont="1" applyFill="1" applyBorder="1" applyAlignment="1">
      <x:alignment vertical="center" wrapText="1"/>
    </x:xf>
    <x:xf numFmtId="0" fontId="9" fillId="9" borderId="3" xfId="0" applyNumberFormat="1" applyFont="1" applyFill="1" applyBorder="1" applyAlignment="1">
      <x:alignment horizontal="center" vertical="center"/>
    </x:xf>
    <x:xf numFmtId="201" fontId="0" fillId="0" borderId="21" xfId="0" applyNumberFormat="1" applyFont="1" applyFill="1" applyBorder="1" applyAlignment="1">
      <x:alignment vertical="center"/>
    </x:xf>
    <x:xf numFmtId="0" fontId="10" fillId="10" borderId="24" xfId="0" applyNumberFormat="1" applyFont="1" applyFill="1" applyBorder="1" applyAlignment="1">
      <x:alignment vertical="center" wrapText="1"/>
    </x:xf>
    <x:xf numFmtId="0" fontId="10" fillId="10" borderId="25" xfId="0" applyNumberFormat="1" applyFont="1" applyFill="1" applyBorder="1" applyAlignment="1">
      <x:alignment vertical="center" wrapText="1"/>
    </x:xf>
    <x:xf numFmtId="0" fontId="10" fillId="10" borderId="26" xfId="0" applyNumberFormat="1" applyFont="1" applyFill="1" applyBorder="1" applyAlignment="1">
      <x:alignment vertical="center" wrapText="1"/>
    </x:xf>
    <x:xf numFmtId="0" fontId="9" fillId="9" borderId="4" xfId="0" applyNumberFormat="1" applyFont="1" applyFill="1" applyBorder="1" applyAlignment="1">
      <x:alignment horizontal="center" vertical="center"/>
    </x:xf>
    <x:xf numFmtId="201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horizontal="center"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 applyAlignment="1">
      <x:alignment vertical="center"/>
    </x:xf>
    <x:xf numFmtId="200" fontId="0" fillId="0" borderId="23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20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200" fontId="0" fillId="0" borderId="19" xfId="0" applyNumberFormat="1" applyFont="1" applyFill="1" applyBorder="1" applyAlignment="1">
      <x:alignment vertical="center"/>
    </x:xf>
    <x:xf numFmtId="0" fontId="9" fillId="9" borderId="5" xfId="0" applyNumberFormat="1" applyFont="1" applyFill="1" applyBorder="1" applyAlignment="1">
      <x:alignment horizontal="center" vertical="center"/>
    </x:xf>
    <x:xf numFmtId="201" fontId="0" fillId="0" borderId="16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vertical="center" wrapText="1"/>
    </x:xf>
    <x:xf numFmtId="0" fontId="10" fillId="5" borderId="28" xfId="0" applyNumberFormat="1" applyFont="1" applyFill="1" applyBorder="1" applyAlignment="1">
      <x:alignment vertical="center" wrapText="1"/>
    </x:xf>
    <x:xf numFmtId="0" fontId="10" fillId="5" borderId="29" xfId="0" applyNumberFormat="1" applyFont="1" applyFill="1" applyBorder="1" applyAlignment="1">
      <x:alignment vertical="center" wrapText="1"/>
    </x:xf>
    <x:xf numFmtId="0" fontId="9" fillId="9" borderId="6" xfId="0" applyNumberFormat="1" applyFont="1" applyFill="1" applyBorder="1" applyAlignment="1">
      <x:alignment horizontal="center" vertical="center"/>
    </x:xf>
    <x:xf numFmtId="201" fontId="0" fillId="0" borderId="23" xfId="0" applyNumberFormat="1" applyFont="1" applyFill="1" applyBorder="1" applyAlignment="1">
      <x:alignment vertical="center"/>
    </x:xf>
    <x:xf numFmtId="0" fontId="10" fillId="10" borderId="27" xfId="0" applyNumberFormat="1" applyFont="1" applyFill="1" applyBorder="1" applyAlignment="1">
      <x:alignment vertical="center" wrapText="1"/>
    </x:xf>
    <x:xf numFmtId="0" fontId="10" fillId="10" borderId="28" xfId="0" applyNumberFormat="1" applyFont="1" applyFill="1" applyBorder="1" applyAlignment="1">
      <x:alignment vertical="center" wrapText="1"/>
    </x:xf>
    <x:xf numFmtId="0" fontId="10" fillId="10" borderId="29" xfId="0" applyNumberFormat="1" applyFont="1" applyFill="1" applyBorder="1" applyAlignment="1">
      <x:alignment vertical="center" wrapText="1"/>
    </x:xf>
    <x:xf numFmtId="0" fontId="9" fillId="9" borderId="7" xfId="0" applyNumberFormat="1" applyFont="1" applyFill="1" applyBorder="1" applyAlignment="1">
      <x:alignment horizontal="center" vertical="center"/>
    </x:xf>
    <x:xf numFmtId="201" fontId="0" fillId="0" borderId="19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200" fontId="7" fillId="6" borderId="8" xfId="0" applyNumberFormat="1" applyFont="1" applyFill="1" applyBorder="1" applyAlignment="1">
      <x:alignment horizontal="center" vertical="center" wrapText="1"/>
    </x:xf>
    <x:xf numFmtId="200" fontId="7" fillId="6" borderId="9" xfId="0" applyNumberFormat="1" applyFont="1" applyFill="1" applyBorder="1" applyAlignment="1">
      <x:alignment horizontal="center" vertical="center" wrapText="1"/>
    </x:xf>
    <x:xf numFmtId="200" fontId="7" fillId="6" borderId="10" xfId="0" applyNumberFormat="1" applyFont="1" applyFill="1" applyBorder="1" applyAlignment="1">
      <x:alignment horizontal="center" vertical="center" wrapText="1"/>
    </x:xf>
    <x:xf numFmtId="0" fontId="7" fillId="4" borderId="8" xfId="0" applyNumberFormat="1" applyFont="1" applyFill="1" applyBorder="1" applyAlignment="1">
      <x:alignment horizontal="center" vertical="center" wrapText="1"/>
    </x:xf>
    <x:xf numFmtId="0" fontId="7" fillId="4" borderId="9" xfId="0" applyNumberFormat="1" applyFont="1" applyFill="1" applyBorder="1" applyAlignment="1">
      <x:alignment horizontal="center" vertical="center" wrapText="1"/>
    </x:xf>
    <x:xf numFmtId="0" fontId="7" fillId="4" borderId="10" xfId="0" applyNumberFormat="1" applyFont="1" applyFill="1" applyBorder="1" applyAlignment="1">
      <x:alignment horizontal="center" vertical="center" wrapText="1"/>
    </x:xf>
    <x:xf numFmtId="0" fontId="7" fillId="6" borderId="8" xfId="0" applyNumberFormat="1" applyFont="1" applyFill="1" applyBorder="1" applyAlignment="1">
      <x:alignment horizontal="center" vertical="center" wrapText="1"/>
    </x:xf>
    <x:xf numFmtId="0" fontId="7" fillId="6" borderId="9" xfId="0" applyNumberFormat="1" applyFont="1" applyFill="1" applyBorder="1" applyAlignment="1">
      <x:alignment horizontal="center" vertical="center" wrapText="1"/>
    </x:xf>
    <x:xf numFmtId="0" fontId="7" fillId="6" borderId="10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7" fillId="7" borderId="9" xfId="0" applyNumberFormat="1" applyFont="1" applyFill="1" applyBorder="1" applyAlignment="1">
      <x:alignment horizontal="center" vertical="center" wrapText="1"/>
    </x:xf>
    <x:xf numFmtId="0" fontId="7" fillId="7" borderId="10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7" fillId="6" borderId="11" xfId="0" applyNumberFormat="1" applyFont="1" applyFill="1" applyBorder="1" applyAlignment="1">
      <x:alignment horizontal="center" vertical="center" wrapText="1"/>
    </x:xf>
    <x:xf numFmtId="200" fontId="7" fillId="6" borderId="12" xfId="0" applyNumberFormat="1" applyFont="1" applyFill="1" applyBorder="1" applyAlignment="1">
      <x:alignment horizontal="center" vertical="center" wrapText="1"/>
    </x:xf>
    <x:xf numFmtId="200" fontId="7" fillId="6" borderId="13" xfId="0" applyNumberFormat="1" applyFont="1" applyFill="1" applyBorder="1" applyAlignment="1">
      <x:alignment horizontal="center" vertical="center" wrapText="1"/>
    </x:xf>
    <x:xf numFmtId="0" fontId="7" fillId="4" borderId="11" xfId="0" applyNumberFormat="1" applyFont="1" applyFill="1" applyBorder="1" applyAlignment="1">
      <x:alignment horizontal="center" vertical="center" wrapText="1"/>
    </x:xf>
    <x:xf numFmtId="0" fontId="7" fillId="4" borderId="12" xfId="0" applyNumberFormat="1" applyFont="1" applyFill="1" applyBorder="1" applyAlignment="1">
      <x:alignment horizontal="center" vertical="center" wrapText="1"/>
    </x:xf>
    <x:xf numFmtId="0" fontId="7" fillId="4" borderId="13" xfId="0" applyNumberFormat="1" applyFont="1" applyFill="1" applyBorder="1" applyAlignment="1">
      <x:alignment horizontal="center" vertical="center" wrapText="1"/>
    </x:xf>
    <x:xf numFmtId="0" fontId="7" fillId="6" borderId="11" xfId="0" applyNumberFormat="1" applyFont="1" applyFill="1" applyBorder="1" applyAlignment="1">
      <x:alignment horizontal="center" vertical="center" wrapText="1"/>
    </x:xf>
    <x:xf numFmtId="0" fontId="7" fillId="6" borderId="12" xfId="0" applyNumberFormat="1" applyFont="1" applyFill="1" applyBorder="1" applyAlignment="1">
      <x:alignment horizontal="center" vertical="center" wrapText="1"/>
    </x:xf>
    <x:xf numFmtId="0" fontId="7" fillId="6" borderId="13" xfId="0" applyNumberFormat="1" applyFont="1" applyFill="1" applyBorder="1" applyAlignment="1">
      <x:alignment horizontal="center" vertical="center" wrapText="1"/>
    </x:xf>
    <x:xf numFmtId="0" fontId="7" fillId="7" borderId="11" xfId="0" applyNumberFormat="1" applyFont="1" applyFill="1" applyBorder="1" applyAlignment="1">
      <x:alignment horizontal="center" vertical="center" wrapText="1"/>
    </x:xf>
    <x:xf numFmtId="0" fontId="7" fillId="7" borderId="12" xfId="0" applyNumberFormat="1" applyFont="1" applyFill="1" applyBorder="1" applyAlignment="1">
      <x:alignment horizontal="center" vertical="center" wrapText="1"/>
    </x:xf>
    <x:xf numFmtId="0" fontId="7" fillId="7" borderId="1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20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200" fontId="0" fillId="0" borderId="2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20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3" fillId="2" borderId="20" xfId="0" applyNumberFormat="1" applyFont="1" applyFill="1" applyBorder="1" applyAlignment="1">
      <x:alignment horizontal="left" vertical="center" wrapText="1"/>
    </x:xf>
    <x:xf numFmtId="200" fontId="3" fillId="2" borderId="21" xfId="0" applyNumberFormat="1" applyFont="1" applyFill="1" applyBorder="1" applyAlignment="1">
      <x:alignment horizontal="left" vertical="center" wrapText="1"/>
    </x:xf>
    <x:xf numFmtId="200" fontId="0" fillId="0" borderId="13" xfId="0" applyNumberFormat="1" applyFont="1" applyFill="1" applyBorder="1" applyAlignment="1">
      <x:alignment vertical="center" wrapText="1"/>
    </x:xf>
    <x:xf numFmtId="0" fontId="9" fillId="9" borderId="2" xfId="0" applyNumberFormat="1" applyFont="1" applyFill="1" applyBorder="1" applyAlignment="1">
      <x:alignment horizontal="center" vertical="center" wrapText="1"/>
    </x:xf>
    <x:xf numFmtId="201" fontId="0" fillId="0" borderId="10" xfId="0" applyNumberFormat="1" applyFont="1" applyFill="1" applyBorder="1" applyAlignment="1">
      <x:alignment vertic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0" fillId="0" borderId="21" xfId="0" applyNumberFormat="1" applyFont="1" applyFill="1" applyBorder="1" applyAlignment="1">
      <x:alignment vertical="center" wrapText="1"/>
    </x:xf>
    <x:xf numFmtId="0" fontId="9" fillId="9" borderId="4" xfId="0" applyNumberFormat="1" applyFont="1" applyFill="1" applyBorder="1" applyAlignment="1">
      <x:alignment horizontal="center" vertical="center" wrapText="1"/>
    </x:xf>
    <x:xf numFmtId="201" fontId="0" fillId="0" borderId="13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left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200" fontId="7" fillId="6" borderId="14" xfId="0" applyNumberFormat="1" applyFont="1" applyFill="1" applyBorder="1" applyAlignment="1">
      <x:alignment horizontal="center" vertical="center" wrapText="1"/>
    </x:xf>
    <x:xf numFmtId="200" fontId="7" fillId="6" borderId="15" xfId="0" applyNumberFormat="1" applyFont="1" applyFill="1" applyBorder="1" applyAlignment="1">
      <x:alignment horizontal="center" vertical="center" wrapText="1"/>
    </x:xf>
    <x:xf numFmtId="200" fontId="7" fillId="6" borderId="16" xfId="0" applyNumberFormat="1" applyFont="1" applyFill="1" applyBorder="1" applyAlignment="1">
      <x:alignment horizontal="center" vertical="center" wrapText="1"/>
    </x:xf>
    <x:xf numFmtId="0" fontId="7" fillId="4" borderId="14" xfId="0" applyNumberFormat="1" applyFont="1" applyFill="1" applyBorder="1" applyAlignment="1">
      <x:alignment horizontal="center" vertical="center" wrapText="1"/>
    </x:xf>
    <x:xf numFmtId="0" fontId="7" fillId="4" borderId="15" xfId="0" applyNumberFormat="1" applyFont="1" applyFill="1" applyBorder="1" applyAlignment="1">
      <x:alignment horizontal="center" vertical="center" wrapText="1"/>
    </x:xf>
    <x:xf numFmtId="0" fontId="7" fillId="4" borderId="16" xfId="0" applyNumberFormat="1" applyFont="1" applyFill="1" applyBorder="1" applyAlignment="1">
      <x:alignment horizontal="center" vertical="center" wrapText="1"/>
    </x:xf>
    <x:xf numFmtId="0" fontId="7" fillId="6" borderId="14" xfId="0" applyNumberFormat="1" applyFont="1" applyFill="1" applyBorder="1" applyAlignment="1">
      <x:alignment horizontal="center" vertical="center" wrapText="1"/>
    </x:xf>
    <x:xf numFmtId="0" fontId="7" fillId="6" borderId="15" xfId="0" applyNumberFormat="1" applyFont="1" applyFill="1" applyBorder="1" applyAlignment="1">
      <x:alignment horizontal="center" vertical="center" wrapText="1"/>
    </x:xf>
    <x:xf numFmtId="0" fontId="7" fillId="6" borderId="16" xfId="0" applyNumberFormat="1" applyFont="1" applyFill="1" applyBorder="1" applyAlignment="1">
      <x:alignment horizontal="center" vertical="center" wrapText="1"/>
    </x:xf>
    <x:xf numFmtId="0" fontId="7" fillId="7" borderId="14" xfId="0" applyNumberFormat="1" applyFont="1" applyFill="1" applyBorder="1" applyAlignment="1">
      <x:alignment horizontal="center" vertical="center" wrapText="1"/>
    </x:xf>
    <x:xf numFmtId="0" fontId="7" fillId="7" borderId="15" xfId="0" applyNumberFormat="1" applyFont="1" applyFill="1" applyBorder="1" applyAlignment="1">
      <x:alignment horizontal="center" vertical="center" wrapText="1"/>
    </x:xf>
    <x:xf numFmtId="0" fontId="7" fillId="7" borderId="16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200" fontId="7" fillId="6" borderId="17" xfId="0" applyNumberFormat="1" applyFont="1" applyFill="1" applyBorder="1" applyAlignment="1">
      <x:alignment horizontal="center" vertical="center" wrapText="1"/>
    </x:xf>
    <x:xf numFmtId="200" fontId="7" fillId="6" borderId="18" xfId="0" applyNumberFormat="1" applyFont="1" applyFill="1" applyBorder="1" applyAlignment="1">
      <x:alignment horizontal="center" vertical="center" wrapText="1"/>
    </x:xf>
    <x:xf numFmtId="200" fontId="7" fillId="6" borderId="19" xfId="0" applyNumberFormat="1" applyFont="1" applyFill="1" applyBorder="1" applyAlignment="1">
      <x:alignment horizontal="center" vertical="center" wrapText="1"/>
    </x:xf>
    <x:xf numFmtId="0" fontId="7" fillId="4" borderId="17" xfId="0" applyNumberFormat="1" applyFont="1" applyFill="1" applyBorder="1" applyAlignment="1">
      <x:alignment horizontal="center" vertical="center" wrapText="1"/>
    </x:xf>
    <x:xf numFmtId="0" fontId="7" fillId="4" borderId="18" xfId="0" applyNumberFormat="1" applyFont="1" applyFill="1" applyBorder="1" applyAlignment="1">
      <x:alignment horizontal="center" vertical="center" wrapText="1"/>
    </x:xf>
    <x:xf numFmtId="0" fontId="7" fillId="4" borderId="19" xfId="0" applyNumberFormat="1" applyFont="1" applyFill="1" applyBorder="1" applyAlignment="1">
      <x:alignment horizontal="center" vertical="center" wrapText="1"/>
    </x:xf>
    <x:xf numFmtId="0" fontId="7" fillId="6" borderId="17" xfId="0" applyNumberFormat="1" applyFont="1" applyFill="1" applyBorder="1" applyAlignment="1">
      <x:alignment horizontal="center" vertical="center" wrapText="1"/>
    </x:xf>
    <x:xf numFmtId="0" fontId="7" fillId="6" borderId="18" xfId="0" applyNumberFormat="1" applyFont="1" applyFill="1" applyBorder="1" applyAlignment="1">
      <x:alignment horizontal="center" vertical="center" wrapText="1"/>
    </x:xf>
    <x:xf numFmtId="0" fontId="7" fillId="6" borderId="19" xfId="0" applyNumberFormat="1" applyFont="1" applyFill="1" applyBorder="1" applyAlignment="1">
      <x:alignment horizontal="center" vertical="center" wrapText="1"/>
    </x:xf>
    <x:xf numFmtId="0" fontId="7" fillId="7" borderId="17" xfId="0" applyNumberFormat="1" applyFont="1" applyFill="1" applyBorder="1" applyAlignment="1">
      <x:alignment horizontal="center" vertical="center" wrapText="1"/>
    </x:xf>
    <x:xf numFmtId="0" fontId="7" fillId="7" borderId="18" xfId="0" applyNumberFormat="1" applyFont="1" applyFill="1" applyBorder="1" applyAlignment="1">
      <x:alignment horizontal="center" vertical="center" wrapText="1"/>
    </x:xf>
    <x:xf numFmtId="0" fontId="7" fillId="7" borderId="19" xfId="0" applyNumberFormat="1" applyFont="1" applyFill="1" applyBorder="1" applyAlignment="1">
      <x:alignment horizontal="center" vertical="center" wrapText="1"/>
    </x:xf>
    <x:xf numFmtId="0" fontId="5" fillId="4" borderId="7" xfId="0" applyNumberFormat="1" applyFont="1" applyFill="1" applyBorder="1" applyAlignment="1">
      <x:alignment horizontal="center"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20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200" fontId="0" fillId="0" borderId="23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20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3" fillId="2" borderId="22" xfId="0" applyNumberFormat="1" applyFont="1" applyFill="1" applyBorder="1" applyAlignment="1">
      <x:alignment horizontal="left" vertical="center" wrapText="1"/>
    </x:xf>
    <x:xf numFmtId="200" fontId="3" fillId="2" borderId="23" xfId="0" applyNumberFormat="1" applyFont="1" applyFill="1" applyBorder="1" applyAlignment="1">
      <x:alignment horizontal="left" vertical="center" wrapText="1"/>
    </x:xf>
    <x:xf numFmtId="200" fontId="0" fillId="0" borderId="19" xfId="0" applyNumberFormat="1" applyFont="1" applyFill="1" applyBorder="1" applyAlignment="1">
      <x:alignment vertical="center" wrapText="1"/>
    </x:xf>
    <x:xf numFmtId="0" fontId="9" fillId="9" borderId="5" xfId="0" applyNumberFormat="1" applyFont="1" applyFill="1" applyBorder="1" applyAlignment="1">
      <x:alignment horizontal="center" vertical="center" wrapText="1"/>
    </x:xf>
    <x:xf numFmtId="201" fontId="0" fillId="0" borderId="16" xfId="0" applyNumberFormat="1" applyFont="1" applyFill="1" applyBorder="1" applyAlignment="1">
      <x:alignment vertical="center" wrapText="1"/>
    </x:xf>
    <x:xf numFmtId="0" fontId="9" fillId="9" borderId="6" xfId="0" applyNumberFormat="1" applyFont="1" applyFill="1" applyBorder="1" applyAlignment="1">
      <x:alignment horizontal="center" vertical="center" wrapText="1"/>
    </x:xf>
    <x:xf numFmtId="201" fontId="0" fillId="0" borderId="23" xfId="0" applyNumberFormat="1" applyFont="1" applyFill="1" applyBorder="1" applyAlignment="1">
      <x:alignment vertical="center" wrapText="1"/>
    </x:xf>
    <x:xf numFmtId="0" fontId="9" fillId="9" borderId="7" xfId="0" applyNumberFormat="1" applyFont="1" applyFill="1" applyBorder="1" applyAlignment="1">
      <x:alignment horizontal="center" vertical="center" wrapText="1"/>
    </x:xf>
    <x:xf numFmtId="201" fontId="0" fillId="0" borderId="19" xfId="0" applyNumberFormat="1" applyFont="1" applyFill="1" applyBorder="1" applyAlignment="1">
      <x:alignment vertical="center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12" fillId="3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center" vertical="center"/>
    </x:xf>
    <x:xf numFmtId="202" fontId="13" fillId="0" borderId="8" xfId="0" applyNumberFormat="1" applyFont="1" applyFill="1" applyBorder="1" applyAlignment="1">
      <x:alignment vertical="center"/>
    </x:xf>
    <x:xf numFmtId="0" fontId="13" fillId="0" borderId="9" xfId="0" applyNumberFormat="1" applyFont="1" applyFill="1" applyBorder="1" applyAlignment="1">
      <x:alignment vertical="center"/>
    </x:xf>
    <x:xf numFmtId="0" fontId="13" fillId="0" borderId="10" xfId="0" applyNumberFormat="1" applyFont="1" applyFill="1" applyBorder="1" applyAlignment="1">
      <x:alignment vertical="center"/>
    </x:xf>
    <x:xf numFmtId="202" fontId="13" fillId="0" borderId="2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3" fillId="0" borderId="21" xfId="0" applyNumberFormat="1" applyFont="1" applyFill="1" applyBorder="1" applyAlignment="1">
      <x:alignment vertical="center"/>
    </x:xf>
    <x:xf numFmtId="0" fontId="13" fillId="0" borderId="20" xfId="0" applyNumberFormat="1" applyFont="1" applyFill="1" applyBorder="1" applyAlignment="1">
      <x:alignment vertical="center"/>
    </x:xf>
    <x:xf numFmtId="0" fontId="13" fillId="0" borderId="11" xfId="0" applyNumberFormat="1" applyFont="1" applyFill="1" applyBorder="1" applyAlignment="1">
      <x:alignment vertical="center"/>
    </x:xf>
    <x:xf numFmtId="0" fontId="13" fillId="0" borderId="12" xfId="0" applyNumberFormat="1" applyFont="1" applyFill="1" applyBorder="1" applyAlignment="1">
      <x:alignment vertical="center"/>
    </x:xf>
    <x:xf numFmtId="0" fontId="13" fillId="0" borderId="13" xfId="0" applyNumberFormat="1" applyFont="1" applyFill="1" applyBorder="1" applyAlignment="1">
      <x:alignment vertical="center"/>
    </x:xf>
    <x:xf numFmtId="0" fontId="12" fillId="3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/>
    </x:xf>
    <x:xf numFmtId="202" fontId="13" fillId="0" borderId="14" xfId="0" applyNumberFormat="1" applyFont="1" applyFill="1" applyBorder="1" applyAlignment="1">
      <x:alignment vertical="center"/>
    </x:xf>
    <x:xf numFmtId="0" fontId="13" fillId="0" borderId="15" xfId="0" applyNumberFormat="1" applyFont="1" applyFill="1" applyBorder="1" applyAlignment="1">
      <x:alignment vertical="center"/>
    </x:xf>
    <x:xf numFmtId="0" fontId="13" fillId="0" borderId="16" xfId="0" applyNumberFormat="1" applyFont="1" applyFill="1" applyBorder="1" applyAlignment="1">
      <x:alignment vertical="center"/>
    </x:xf>
    <x:xf numFmtId="202" fontId="13" fillId="0" borderId="22" xfId="0" applyNumberFormat="1" applyFont="1" applyFill="1" applyBorder="1" applyAlignment="1">
      <x:alignment vertical="center"/>
    </x:xf>
    <x:xf numFmtId="0" fontId="13" fillId="0" borderId="1" xfId="0" applyNumberFormat="1" applyFont="1" applyFill="1" applyBorder="1" applyAlignment="1">
      <x:alignment vertical="center"/>
    </x:xf>
    <x:xf numFmtId="0" fontId="13" fillId="0" borderId="23" xfId="0" applyNumberFormat="1" applyFont="1" applyFill="1" applyBorder="1" applyAlignment="1">
      <x:alignment vertical="center"/>
    </x:xf>
    <x:xf numFmtId="0" fontId="13" fillId="0" borderId="22" xfId="0" applyNumberFormat="1" applyFont="1" applyFill="1" applyBorder="1" applyAlignment="1">
      <x:alignment vertical="center"/>
    </x:xf>
    <x:xf numFmtId="0" fontId="13" fillId="0" borderId="17" xfId="0" applyNumberFormat="1" applyFont="1" applyFill="1" applyBorder="1" applyAlignment="1">
      <x:alignment vertical="center"/>
    </x:xf>
    <x:xf numFmtId="0" fontId="13" fillId="0" borderId="18" xfId="0" applyNumberFormat="1" applyFont="1" applyFill="1" applyBorder="1" applyAlignment="1">
      <x:alignment vertical="center"/>
    </x:xf>
    <x:xf numFmtId="0" fontId="13" fillId="0" borderId="19" xfId="0" applyNumberFormat="1" applyFont="1" applyFill="1" applyBorder="1" applyAlignment="1">
      <x:alignment vertical="center"/>
    </x:xf>
    <x:xf numFmtId="0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0" borderId="21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center" wrapText="1"/>
    </x:xf>
    <x:xf numFmtId="0" fontId="13" fillId="0" borderId="16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3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  <x:xf numFmtId="0" fontId="13" fillId="0" borderId="19" xfId="0" applyNumberFormat="1" applyFont="1" applyFill="1" applyBorder="1" applyAlignment="1">
      <x:alignment vertical="center" wrapText="1"/>
    </x:xf>
    <x:xf numFmtId="202" fontId="0" fillId="0" borderId="8" xfId="0" applyNumberFormat="1" applyFont="1" applyFill="1" applyBorder="1" applyAlignment="1">
      <x:alignment vertical="center"/>
    </x:xf>
    <x:xf numFmtId="202" fontId="0" fillId="0" borderId="20" xfId="0" applyNumberFormat="1" applyFont="1" applyFill="1" applyBorder="1" applyAlignment="1">
      <x:alignment vertical="center"/>
    </x:xf>
    <x:xf numFmtId="202" fontId="0" fillId="9" borderId="2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0" fillId="9" borderId="2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horizontal="center" vertical="center" wrapText="1"/>
    </x:xf>
    <x:xf numFmtId="202" fontId="5" fillId="4" borderId="20" xfId="0" applyNumberFormat="1" applyFont="1" applyFill="1" applyBorder="1" applyAlignment="1">
      <x:alignment horizontal="center" vertical="center" wrapText="1"/>
    </x:xf>
    <x:xf numFmtId="0" fontId="5" fillId="4" borderId="21" xfId="0" applyNumberFormat="1" applyFont="1" applyFill="1" applyBorder="1" applyAlignment="1">
      <x:alignment horizontal="center" vertical="center" wrapText="1"/>
    </x:xf>
    <x:xf numFmtId="202" fontId="11" fillId="2" borderId="20" xfId="0" applyNumberFormat="1" applyFont="1" applyFill="1" applyBorder="1" applyAlignment="1">
      <x:alignment horizontal="center" vertical="center"/>
    </x:xf>
    <x:xf numFmtId="0" fontId="11" fillId="2" borderId="21" xfId="0" applyNumberFormat="1" applyFont="1" applyFill="1" applyBorder="1" applyAlignment="1">
      <x:alignment horizontal="center" vertical="center"/>
    </x:xf>
    <x:xf numFmtId="202" fontId="0" fillId="0" borderId="14" xfId="0" applyNumberFormat="1" applyFont="1" applyFill="1" applyBorder="1" applyAlignment="1">
      <x:alignment vertical="center"/>
    </x:xf>
    <x:xf numFmtId="202" fontId="0" fillId="0" borderId="22" xfId="0" applyNumberFormat="1" applyFont="1" applyFill="1" applyBorder="1" applyAlignment="1">
      <x:alignment vertical="center"/>
    </x:xf>
    <x:xf numFmtId="202" fontId="0" fillId="9" borderId="22" xfId="0" applyNumberFormat="1" applyFont="1" applyFill="1" applyBorder="1" applyAlignment="1">
      <x:alignment vertical="center"/>
    </x:xf>
    <x:xf numFmtId="0" fontId="0" fillId="9" borderId="1" xfId="0" applyNumberFormat="1" applyFont="1" applyFill="1" applyBorder="1" applyAlignment="1">
      <x:alignment vertical="center"/>
    </x:xf>
    <x:xf numFmtId="0" fontId="0" fillId="9" borderId="23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18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5" fillId="4" borderId="22" xfId="0" applyNumberFormat="1" applyFont="1" applyFill="1" applyBorder="1" applyAlignment="1">
      <x:alignment horizontal="center" vertical="center" wrapText="1"/>
    </x:xf>
    <x:xf numFmtId="0" fontId="5" fillId="4" borderId="23" xfId="0" applyNumberFormat="1" applyFont="1" applyFill="1" applyBorder="1" applyAlignment="1">
      <x:alignment horizontal="center" vertical="center" wrapText="1"/>
    </x:xf>
    <x:xf numFmtId="202" fontId="11" fillId="2" borderId="22" xfId="0" applyNumberFormat="1" applyFont="1" applyFill="1" applyBorder="1" applyAlignment="1">
      <x:alignment horizontal="center" vertical="center"/>
    </x:xf>
    <x:xf numFmtId="0" fontId="11" fillId="2" borderId="23" xfId="0" applyNumberFormat="1" applyFont="1" applyFill="1" applyBorder="1" applyAlignment="1">
      <x:alignment horizontal="center" vertical="center"/>
    </x:xf>
    <x:xf numFmtId="0" fontId="3" fillId="2" borderId="30" xfId="0" applyNumberFormat="1" applyFont="1" applyFill="1" applyBorder="1" applyAlignment="1">
      <x:alignment horizontal="center" vertical="center" wrapText="1"/>
    </x:xf>
    <x:xf numFmtId="202" fontId="0" fillId="0" borderId="8" xfId="0" applyNumberFormat="1" applyFont="1" applyFill="1" applyBorder="1" applyAlignment="1">
      <x:alignment vertical="center" wrapText="1"/>
    </x:xf>
    <x:xf numFmtId="202" fontId="0" fillId="0" borderId="20" xfId="0" applyNumberFormat="1" applyFont="1" applyFill="1" applyBorder="1" applyAlignment="1">
      <x:alignment vertical="center" wrapText="1"/>
    </x:xf>
    <x:xf numFmtId="202" fontId="0" fillId="9" borderId="2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 applyAlignment="1">
      <x:alignment vertical="center" wrapText="1"/>
    </x:xf>
    <x:xf numFmtId="0" fontId="0" fillId="9" borderId="2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2" fontId="0" fillId="0" borderId="12" xfId="0" applyNumberFormat="1" applyFont="1" applyFill="1" applyBorder="1" applyAlignment="1">
      <x:alignment vertical="center" wrapText="1"/>
    </x:xf>
    <x:xf numFmtId="202" fontId="11" fillId="2" borderId="20" xfId="0" applyNumberFormat="1" applyFont="1" applyFill="1" applyBorder="1" applyAlignment="1">
      <x:alignment horizontal="center" vertical="center" wrapText="1"/>
    </x:xf>
    <x:xf numFmtId="0" fontId="11" fillId="2" borderId="21" xfId="0" applyNumberFormat="1" applyFont="1" applyFill="1" applyBorder="1" applyAlignment="1">
      <x:alignment horizontal="center" vertical="center" wrapText="1"/>
    </x:xf>
    <x:xf numFmtId="0" fontId="3" fillId="2" borderId="31" xfId="0" applyNumberFormat="1" applyFont="1" applyFill="1" applyBorder="1" applyAlignment="1">
      <x:alignment horizontal="center" vertical="center" wrapText="1"/>
    </x:xf>
    <x:xf numFmtId="202" fontId="0" fillId="0" borderId="14" xfId="0" applyNumberFormat="1" applyFont="1" applyFill="1" applyBorder="1" applyAlignment="1">
      <x:alignment vertical="center" wrapText="1"/>
    </x:xf>
    <x:xf numFmtId="202" fontId="0" fillId="0" borderId="22" xfId="0" applyNumberFormat="1" applyFont="1" applyFill="1" applyBorder="1" applyAlignment="1">
      <x:alignment vertical="center" wrapText="1"/>
    </x:xf>
    <x:xf numFmtId="202" fontId="0" fillId="9" borderId="22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 applyAlignment="1">
      <x:alignment vertical="center" wrapText="1"/>
    </x:xf>
    <x:xf numFmtId="0" fontId="0" fillId="9" borderId="23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202" fontId="0" fillId="0" borderId="18" xfId="0" applyNumberFormat="1" applyFont="1" applyFill="1" applyBorder="1" applyAlignment="1">
      <x:alignment vertical="center" wrapText="1"/>
    </x:xf>
    <x:xf numFmtId="202" fontId="11" fillId="2" borderId="22" xfId="0" applyNumberFormat="1" applyFont="1" applyFill="1" applyBorder="1" applyAlignment="1">
      <x:alignment horizontal="center" vertical="center" wrapText="1"/>
    </x:xf>
    <x:xf numFmtId="0" fontId="11" fillId="2" borderId="23" xfId="0" applyNumberFormat="1" applyFont="1" applyFill="1" applyBorder="1" applyAlignment="1">
      <x:alignment horizontal="center" vertical="center" wrapText="1"/>
    </x:xf>
    <x:xf numFmtId="0" fontId="0" fillId="2" borderId="2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9" fillId="2" borderId="3" xfId="0" applyNumberFormat="1" applyFont="1" applyFill="1" applyBorder="1" applyAlignment="1">
      <x:alignment horizontal="center" vertical="center" wrapText="1"/>
    </x:xf>
    <x:xf numFmtId="201" fontId="0" fillId="2" borderId="21" xfId="0" applyNumberFormat="1" applyFont="1" applyFill="1" applyBorder="1" applyAlignment="1">
      <x:alignment vertical="center" wrapText="1"/>
    </x:xf>
    <x:xf numFmtId="0" fontId="3" fillId="2" borderId="2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201" fontId="3" fillId="2" borderId="21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horizontal="left" vertical="center" wrapText="1"/>
    </x:xf>
    <x:xf numFmtId="201" fontId="3" fillId="2" borderId="21" xfId="0" applyNumberFormat="1" applyFont="1" applyFill="1" applyBorder="1" applyAlignment="1">
      <x:alignment horizontal="left" vertical="center" wrapText="1"/>
    </x:xf>
    <x:xf numFmtId="0" fontId="0" fillId="2" borderId="22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201" fontId="0" fillId="2" borderId="23" xfId="0" applyNumberFormat="1" applyFont="1" applyFill="1" applyBorder="1" applyAlignment="1">
      <x:alignment vertical="center" wrapText="1"/>
    </x:xf>
    <x:xf numFmtId="0" fontId="3" fillId="2" borderId="22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201" fontId="3" fillId="2" borderId="23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horizontal="left" vertical="center" wrapText="1"/>
    </x:xf>
    <x:xf numFmtId="201" fontId="3" fillId="2" borderId="23" xfId="0" applyNumberFormat="1" applyFont="1" applyFill="1" applyBorder="1" applyAlignment="1">
      <x:alignment horizontal="left" vertical="center" wrapText="1"/>
    </x:xf>
    <x:xf numFmtId="0" fontId="0" fillId="8" borderId="2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9" fillId="8" borderId="3" xfId="0" applyNumberFormat="1" applyFont="1" applyFill="1" applyBorder="1" applyAlignment="1">
      <x:alignment horizontal="center" vertical="center" wrapText="1"/>
    </x:xf>
    <x:xf numFmtId="201" fontId="0" fillId="8" borderId="21" xfId="0" applyNumberFormat="1" applyFont="1" applyFill="1" applyBorder="1" applyAlignment="1">
      <x:alignment vertical="center" wrapText="1"/>
    </x:xf>
    <x:xf numFmtId="0" fontId="4" fillId="8" borderId="2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4" fillId="8" borderId="3" xfId="0" applyNumberFormat="1" applyFont="1" applyFill="1" applyBorder="1" applyAlignment="1">
      <x:alignment horizontal="center" vertical="center" wrapText="1"/>
    </x:xf>
    <x:xf numFmtId="201" fontId="4" fillId="8" borderId="21" xfId="0" applyNumberFormat="1" applyFont="1" applyFill="1" applyBorder="1" applyAlignment="1">
      <x:alignment vertical="center" wrapText="1"/>
    </x:xf>
    <x:xf numFmtId="0" fontId="4" fillId="8" borderId="20" xfId="0" applyNumberFormat="1" applyFont="1" applyFill="1" applyBorder="1" applyAlignment="1">
      <x:alignment horizontal="center" vertical="center" wrapText="1"/>
    </x:xf>
    <x:xf numFmtId="201" fontId="4" fillId="8" borderId="21" xfId="0" applyNumberFormat="1" applyFont="1" applyFill="1" applyBorder="1" applyAlignment="1">
      <x:alignment horizontal="center" vertical="center" wrapText="1"/>
    </x:xf>
    <x:xf numFmtId="0" fontId="0" fillId="8" borderId="22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9" fillId="8" borderId="6" xfId="0" applyNumberFormat="1" applyFont="1" applyFill="1" applyBorder="1" applyAlignment="1">
      <x:alignment horizontal="center" vertical="center" wrapText="1"/>
    </x:xf>
    <x:xf numFmtId="201" fontId="0" fillId="8" borderId="23" xfId="0" applyNumberFormat="1" applyFont="1" applyFill="1" applyBorder="1" applyAlignment="1">
      <x:alignment vertical="center" wrapText="1"/>
    </x:xf>
    <x:xf numFmtId="0" fontId="4" fillId="8" borderId="22" xfId="0" applyNumberFormat="1" applyFont="1" applyFill="1" applyBorder="1" applyAlignment="1">
      <x:alignment vertical="center" wrapText="1"/>
    </x:xf>
    <x:xf numFmtId="0" fontId="4" fillId="8" borderId="1" xfId="0" applyNumberFormat="1" applyFont="1" applyFill="1" applyBorder="1" applyAlignment="1">
      <x:alignment vertical="center" wrapText="1"/>
    </x:xf>
    <x:xf numFmtId="0" fontId="4" fillId="8" borderId="6" xfId="0" applyNumberFormat="1" applyFont="1" applyFill="1" applyBorder="1" applyAlignment="1">
      <x:alignment horizontal="center" vertical="center" wrapText="1"/>
    </x:xf>
    <x:xf numFmtId="201" fontId="4" fillId="8" borderId="23" xfId="0" applyNumberFormat="1" applyFont="1" applyFill="1" applyBorder="1" applyAlignment="1">
      <x:alignment vertical="center" wrapText="1"/>
    </x:xf>
    <x:xf numFmtId="0" fontId="4" fillId="8" borderId="22" xfId="0" applyNumberFormat="1" applyFont="1" applyFill="1" applyBorder="1" applyAlignment="1">
      <x:alignment horizontal="center" vertical="center" wrapText="1"/>
    </x:xf>
    <x:xf numFmtId="201" fontId="4" fillId="8" borderId="23" xfId="0" applyNumberFormat="1" applyFont="1" applyFill="1" applyBorder="1" applyAlignment="1">
      <x:alignment horizontal="center" vertical="center" wrapText="1"/>
    </x:xf>
    <x:xf numFmtId="0" fontId="11" fillId="2" borderId="11" xfId="0" applyNumberFormat="1" applyFont="1" applyFill="1" applyBorder="1" applyAlignment="1">
      <x:alignment horizontal="center" vertical="center" wrapText="1"/>
    </x:xf>
    <x:xf numFmtId="0" fontId="11" fillId="2" borderId="12" xfId="0" applyNumberFormat="1" applyFont="1" applyFill="1" applyBorder="1" applyAlignment="1">
      <x:alignment horizontal="center" vertical="center" wrapText="1"/>
    </x:xf>
    <x:xf numFmtId="0" fontId="11" fillId="2" borderId="13" xfId="0" applyNumberFormat="1" applyFont="1" applyFill="1" applyBorder="1" applyAlignment="1">
      <x:alignment horizontal="center" vertical="center" wrapText="1"/>
    </x:xf>
    <x:xf numFmtId="0" fontId="11" fillId="2" borderId="17" xfId="0" applyNumberFormat="1" applyFont="1" applyFill="1" applyBorder="1" applyAlignment="1">
      <x:alignment horizontal="center" vertical="center" wrapText="1"/>
    </x:xf>
    <x:xf numFmtId="0" fontId="11" fillId="2" borderId="18" xfId="0" applyNumberFormat="1" applyFont="1" applyFill="1" applyBorder="1" applyAlignment="1">
      <x:alignment horizontal="center" vertical="center" wrapText="1"/>
    </x:xf>
    <x:xf numFmtId="0" fontId="11" fillId="2" borderId="19" xfId="0" applyNumberFormat="1" applyFont="1" applyFill="1" applyBorder="1" applyAlignment="1">
      <x:alignment horizontal="center" vertical="center" wrapText="1"/>
    </x:xf>
    <x:xf numFmtId="0" fontId="11" fillId="9" borderId="12" xfId="0" applyNumberFormat="1" applyFont="1" applyFill="1" applyBorder="1" applyAlignment="1">
      <x:alignment horizontal="center"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15" fillId="9" borderId="12" xfId="0" applyNumberFormat="1" applyFont="1" applyFill="1" applyBorder="1" applyAlignment="1">
      <x:alignment horizontal="center" vertical="center" wrapText="1"/>
    </x:xf>
    <x:xf numFmtId="0" fontId="9" fillId="9" borderId="3" xfId="0" applyNumberFormat="1" applyFont="1" applyFill="1" applyBorder="1" applyAlignment="1">
      <x:alignment vertical="center" wrapText="1"/>
    </x:xf>
    <x:xf numFmtId="0" fontId="15" fillId="9" borderId="4" xfId="0" applyNumberFormat="1" applyFont="1" applyFill="1" applyBorder="1" applyAlignment="1">
      <x:alignment horizontal="center" vertical="center" wrapText="1"/>
    </x:xf>
    <x:xf numFmtId="0" fontId="11" fillId="9" borderId="18" xfId="0" applyNumberFormat="1" applyFont="1" applyFill="1" applyBorder="1" applyAlignment="1">
      <x:alignment horizontal="center" vertical="center" wrapText="1"/>
    </x:xf>
    <x:xf numFmtId="0" fontId="9" fillId="9" borderId="1" xfId="0" applyNumberFormat="1" applyFont="1" applyFill="1" applyBorder="1" applyAlignment="1">
      <x:alignment vertical="center" wrapText="1"/>
    </x:xf>
    <x:xf numFmtId="0" fontId="15" fillId="9" borderId="18" xfId="0" applyNumberFormat="1" applyFont="1" applyFill="1" applyBorder="1" applyAlignment="1">
      <x:alignment horizontal="center" vertical="center" wrapText="1"/>
    </x:xf>
    <x:xf numFmtId="0" fontId="9" fillId="9" borderId="6" xfId="0" applyNumberFormat="1" applyFont="1" applyFill="1" applyBorder="1" applyAlignment="1">
      <x:alignment vertical="center" wrapText="1"/>
    </x:xf>
    <x:xf numFmtId="0" fontId="15" fillId="9" borderId="7" xfId="0" applyNumberFormat="1" applyFont="1" applyFill="1" applyBorder="1" applyAlignment="1">
      <x:alignment horizontal="center" vertical="center" wrapText="1"/>
    </x:xf>
    <x:xf numFmtId="201" fontId="11" fillId="2" borderId="13" xfId="0" applyNumberFormat="1" applyFont="1" applyFill="1" applyBorder="1" applyAlignment="1">
      <x:alignment horizontal="center" vertical="center" wrapText="1"/>
    </x:xf>
    <x:xf numFmtId="201" fontId="11" fillId="2" borderId="19" xfId="0" applyNumberFormat="1" applyFont="1" applyFill="1" applyBorder="1" applyAlignment="1">
      <x:alignment horizontal="center" vertical="center" wrapText="1"/>
    </x:xf>
    <x:xf numFmtId="0" fontId="10" fillId="2" borderId="24" xfId="0" applyNumberFormat="1" applyFont="1" applyFill="1" applyBorder="1" applyAlignment="1">
      <x:alignment vertical="center" wrapText="1"/>
    </x:xf>
    <x:xf numFmtId="0" fontId="10" fillId="2" borderId="25" xfId="0" applyNumberFormat="1" applyFont="1" applyFill="1" applyBorder="1" applyAlignment="1">
      <x:alignment vertical="center" wrapText="1"/>
    </x:xf>
    <x:xf numFmtId="0" fontId="3" fillId="2" borderId="24" xfId="0" applyNumberFormat="1" applyFont="1" applyFill="1" applyBorder="1" applyAlignment="1">
      <x:alignment vertical="center" wrapText="1"/>
    </x:xf>
    <x:xf numFmtId="0" fontId="3" fillId="2" borderId="25" xfId="0" applyNumberFormat="1" applyFont="1" applyFill="1" applyBorder="1" applyAlignment="1">
      <x:alignment vertical="center" wrapText="1"/>
    </x:xf>
    <x:xf numFmtId="0" fontId="3" fillId="2" borderId="24" xfId="0" applyNumberFormat="1" applyFont="1" applyFill="1" applyBorder="1" applyAlignment="1">
      <x:alignment horizontal="left" vertical="center" wrapText="1"/>
    </x:xf>
    <x:xf numFmtId="0" fontId="3" fillId="2" borderId="25" xfId="0" applyNumberFormat="1" applyFont="1" applyFill="1" applyBorder="1" applyAlignment="1">
      <x:alignment horizontal="left" vertical="center" wrapText="1"/>
    </x:xf>
    <x:xf numFmtId="0" fontId="10" fillId="2" borderId="27" xfId="0" applyNumberFormat="1" applyFont="1" applyFill="1" applyBorder="1" applyAlignment="1">
      <x:alignment vertical="center" wrapText="1"/>
    </x:xf>
    <x:xf numFmtId="0" fontId="10" fillId="2" borderId="28" xfId="0" applyNumberFormat="1" applyFont="1" applyFill="1" applyBorder="1" applyAlignment="1">
      <x:alignment vertical="center" wrapText="1"/>
    </x:xf>
    <x:xf numFmtId="0" fontId="3" fillId="2" borderId="27" xfId="0" applyNumberFormat="1" applyFont="1" applyFill="1" applyBorder="1" applyAlignment="1">
      <x:alignment vertical="center" wrapText="1"/>
    </x:xf>
    <x:xf numFmtId="0" fontId="3" fillId="2" borderId="28" xfId="0" applyNumberFormat="1" applyFont="1" applyFill="1" applyBorder="1" applyAlignment="1">
      <x:alignment vertical="center" wrapText="1"/>
    </x:xf>
    <x:xf numFmtId="0" fontId="3" fillId="2" borderId="27" xfId="0" applyNumberFormat="1" applyFont="1" applyFill="1" applyBorder="1" applyAlignment="1">
      <x:alignment horizontal="left" vertical="center" wrapText="1"/>
    </x:xf>
    <x:xf numFmtId="0" fontId="3" fillId="2" borderId="28" xfId="0" applyNumberFormat="1" applyFont="1" applyFill="1" applyBorder="1" applyAlignment="1">
      <x:alignment horizontal="left" vertical="center" wrapText="1"/>
    </x:xf>
    <x:xf numFmtId="0" fontId="13" fillId="5" borderId="24" xfId="0" applyNumberFormat="1" applyFont="1" applyFill="1" applyBorder="1" applyAlignment="1">
      <x:alignment vertical="center" wrapText="1"/>
    </x:xf>
    <x:xf numFmtId="0" fontId="13" fillId="5" borderId="25" xfId="0" applyNumberFormat="1" applyFont="1" applyFill="1" applyBorder="1" applyAlignment="1">
      <x:alignment vertical="center" wrapText="1"/>
    </x:xf>
    <x:xf numFmtId="0" fontId="13" fillId="5" borderId="26" xfId="0" applyNumberFormat="1" applyFont="1" applyFill="1" applyBorder="1" applyAlignment="1">
      <x:alignment vertical="center" wrapText="1"/>
    </x:xf>
    <x:xf numFmtId="0" fontId="13" fillId="5" borderId="27" xfId="0" applyNumberFormat="1" applyFont="1" applyFill="1" applyBorder="1" applyAlignment="1">
      <x:alignment vertical="center" wrapText="1"/>
    </x:xf>
    <x:xf numFmtId="0" fontId="13" fillId="5" borderId="28" xfId="0" applyNumberFormat="1" applyFont="1" applyFill="1" applyBorder="1" applyAlignment="1">
      <x:alignment vertical="center" wrapText="1"/>
    </x:xf>
    <x:xf numFmtId="0" fontId="13" fillId="5" borderId="29" xfId="0" applyNumberFormat="1" applyFont="1" applyFill="1" applyBorder="1" applyAlignment="1">
      <x:alignment vertical="center" wrapText="1"/>
    </x:xf>
    <x:xf numFmtId="0" fontId="13" fillId="10" borderId="24" xfId="0" applyNumberFormat="1" applyFont="1" applyFill="1" applyBorder="1" applyAlignment="1">
      <x:alignment vertical="center" wrapText="1"/>
    </x:xf>
    <x:xf numFmtId="0" fontId="13" fillId="10" borderId="25" xfId="0" applyNumberFormat="1" applyFont="1" applyFill="1" applyBorder="1" applyAlignment="1">
      <x:alignment vertical="center" wrapText="1"/>
    </x:xf>
    <x:xf numFmtId="0" fontId="13" fillId="10" borderId="26" xfId="0" applyNumberFormat="1" applyFont="1" applyFill="1" applyBorder="1" applyAlignment="1">
      <x:alignment vertical="center" wrapText="1"/>
    </x:xf>
    <x:xf numFmtId="0" fontId="13" fillId="10" borderId="27" xfId="0" applyNumberFormat="1" applyFont="1" applyFill="1" applyBorder="1" applyAlignment="1">
      <x:alignment vertical="center" wrapText="1"/>
    </x:xf>
    <x:xf numFmtId="0" fontId="13" fillId="10" borderId="28" xfId="0" applyNumberFormat="1" applyFont="1" applyFill="1" applyBorder="1" applyAlignment="1">
      <x:alignment vertical="center" wrapText="1"/>
    </x:xf>
    <x:xf numFmtId="0" fontId="13" fillId="10" borderId="29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 applyAlignment="1">
      <x:alignment vertical="center" wrapText="1"/>
    </x:xf>
    <x:xf numFmtId="0" fontId="0" fillId="10" borderId="1" xfId="0" applyNumberFormat="1" applyFont="1" applyFill="1" applyBorder="1" applyAlignment="1">
      <x:alignment vertical="center" wrapText="1"/>
    </x:xf>
    <x:xf numFmtId="0" fontId="13" fillId="1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3" fillId="2" borderId="20" xfId="0" applyNumberFormat="1" applyFont="1" applyFill="1" applyBorder="1" applyAlignment="1">
      <x:alignment vertical="center"/>
    </x:xf>
    <x:xf numFmtId="0" fontId="13" fillId="2" borderId="0" xfId="0" applyNumberFormat="1" applyFont="1" applyFill="1" applyBorder="1" applyAlignment="1">
      <x:alignment vertical="center"/>
    </x:xf>
    <x:xf numFmtId="0" fontId="13" fillId="2" borderId="0" xfId="0" applyNumberFormat="1" applyFont="1" applyFill="1" applyBorder="1" applyAlignment="1">
      <x:alignment vertical="center" wrapText="1"/>
    </x:xf>
    <x:xf numFmtId="0" fontId="13" fillId="2" borderId="21" xfId="0" applyNumberFormat="1" applyFont="1" applyFill="1" applyBorder="1" applyAlignment="1">
      <x:alignment vertical="center" wrapText="1"/>
    </x:xf>
    <x:xf numFmtId="0" fontId="11" fillId="2" borderId="2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vertical="center" wrapText="1"/>
    </x:xf>
    <x:xf numFmtId="0" fontId="11" fillId="2" borderId="21" xfId="0" applyNumberFormat="1" applyFont="1" applyFill="1" applyBorder="1" applyAlignment="1">
      <x:alignment vertical="center" wrapText="1"/>
    </x:xf>
    <x:xf numFmtId="0" fontId="11" fillId="2" borderId="20" xfId="0" applyNumberFormat="1" applyFont="1" applyFill="1" applyBorder="1" applyAlignment="1">
      <x:alignment horizontal="center" vertical="center"/>
    </x:xf>
    <x:xf numFmtId="0" fontId="13" fillId="2" borderId="22" xfId="0" applyNumberFormat="1" applyFont="1" applyFill="1" applyBorder="1" applyAlignment="1">
      <x:alignment vertical="center"/>
    </x:xf>
    <x:xf numFmtId="0" fontId="13" fillId="2" borderId="1" xfId="0" applyNumberFormat="1" applyFont="1" applyFill="1" applyBorder="1" applyAlignment="1">
      <x:alignment vertical="center"/>
    </x:xf>
    <x:xf numFmtId="0" fontId="13" fillId="2" borderId="1" xfId="0" applyNumberFormat="1" applyFont="1" applyFill="1" applyBorder="1" applyAlignment="1">
      <x:alignment vertical="center" wrapText="1"/>
    </x:xf>
    <x:xf numFmtId="0" fontId="13" fillId="2" borderId="23" xfId="0" applyNumberFormat="1" applyFont="1" applyFill="1" applyBorder="1" applyAlignment="1">
      <x:alignment vertical="center" wrapText="1"/>
    </x:xf>
    <x:xf numFmtId="0" fontId="11" fillId="2" borderId="22" xfId="0" applyNumberFormat="1" applyFont="1" applyFill="1" applyBorder="1" applyAlignment="1">
      <x:alignment vertical="center"/>
    </x:xf>
    <x:xf numFmtId="0" fontId="11" fillId="2" borderId="1" xfId="0" applyNumberFormat="1" applyFont="1" applyFill="1" applyBorder="1" applyAlignment="1">
      <x:alignment vertical="center"/>
    </x:xf>
    <x:xf numFmtId="0" fontId="11" fillId="2" borderId="1" xfId="0" applyNumberFormat="1" applyFont="1" applyFill="1" applyBorder="1" applyAlignment="1">
      <x:alignment vertical="center" wrapText="1"/>
    </x:xf>
    <x:xf numFmtId="0" fontId="11" fillId="2" borderId="23" xfId="0" applyNumberFormat="1" applyFont="1" applyFill="1" applyBorder="1" applyAlignment="1">
      <x:alignment vertical="center" wrapText="1"/>
    </x:xf>
    <x:xf numFmtId="0" fontId="11" fillId="2" borderId="22" xfId="0" applyNumberFormat="1" applyFont="1" applyFill="1" applyBorder="1" applyAlignment="1">
      <x:alignment horizontal="center" vertical="center"/>
    </x:xf>
    <x:xf numFmtId="0" fontId="13" fillId="10" borderId="20" xfId="0" applyNumberFormat="1" applyFont="1" applyFill="1" applyBorder="1" applyAlignment="1">
      <x:alignment vertical="center"/>
    </x:xf>
    <x:xf numFmtId="0" fontId="13" fillId="10" borderId="0" xfId="0" applyNumberFormat="1" applyFont="1" applyFill="1" applyBorder="1" applyAlignment="1">
      <x:alignment vertical="center"/>
    </x:xf>
    <x:xf numFmtId="0" fontId="13" fillId="10" borderId="21" xfId="0" applyNumberFormat="1" applyFont="1" applyFill="1" applyBorder="1" applyAlignment="1">
      <x:alignment vertical="center" wrapText="1"/>
    </x:xf>
    <x:xf numFmtId="0" fontId="13" fillId="10" borderId="11" xfId="0" applyNumberFormat="1" applyFont="1" applyFill="1" applyBorder="1" applyAlignment="1">
      <x:alignment vertical="center"/>
    </x:xf>
    <x:xf numFmtId="0" fontId="13" fillId="10" borderId="12" xfId="0" applyNumberFormat="1" applyFont="1" applyFill="1" applyBorder="1" applyAlignment="1">
      <x:alignment vertical="center"/>
    </x:xf>
    <x:xf numFmtId="0" fontId="13" fillId="10" borderId="12" xfId="0" applyNumberFormat="1" applyFont="1" applyFill="1" applyBorder="1" applyAlignment="1">
      <x:alignment vertical="center" wrapText="1"/>
    </x:xf>
    <x:xf numFmtId="0" fontId="13" fillId="10" borderId="13" xfId="0" applyNumberFormat="1" applyFont="1" applyFill="1" applyBorder="1" applyAlignment="1">
      <x:alignment vertical="center" wrapText="1"/>
    </x:xf>
    <x:xf numFmtId="0" fontId="13" fillId="10" borderId="22" xfId="0" applyNumberFormat="1" applyFont="1" applyFill="1" applyBorder="1" applyAlignment="1">
      <x:alignment vertical="center"/>
    </x:xf>
    <x:xf numFmtId="0" fontId="13" fillId="10" borderId="1" xfId="0" applyNumberFormat="1" applyFont="1" applyFill="1" applyBorder="1" applyAlignment="1">
      <x:alignment vertical="center"/>
    </x:xf>
    <x:xf numFmtId="0" fontId="13" fillId="10" borderId="23" xfId="0" applyNumberFormat="1" applyFont="1" applyFill="1" applyBorder="1" applyAlignment="1">
      <x:alignment vertical="center" wrapText="1"/>
    </x:xf>
    <x:xf numFmtId="0" fontId="13" fillId="10" borderId="17" xfId="0" applyNumberFormat="1" applyFont="1" applyFill="1" applyBorder="1" applyAlignment="1">
      <x:alignment vertical="center"/>
    </x:xf>
    <x:xf numFmtId="0" fontId="13" fillId="10" borderId="18" xfId="0" applyNumberFormat="1" applyFont="1" applyFill="1" applyBorder="1" applyAlignment="1">
      <x:alignment vertical="center"/>
    </x:xf>
    <x:xf numFmtId="0" fontId="13" fillId="10" borderId="18" xfId="0" applyNumberFormat="1" applyFont="1" applyFill="1" applyBorder="1" applyAlignment="1">
      <x:alignment vertical="center" wrapText="1"/>
    </x:xf>
    <x:xf numFmtId="0" fontId="13" fillId="10" borderId="19" xfId="0" applyNumberFormat="1" applyFont="1" applyFill="1" applyBorder="1" applyAlignment="1">
      <x:alignment vertical="center" wrapText="1"/>
    </x:xf>
    <x:xf numFmtId="0" fontId="0" fillId="10" borderId="20" xfId="0" applyNumberFormat="1" applyFont="1" applyFill="1" applyBorder="1" applyAlignment="1">
      <x:alignment vertical="center" wrapText="1"/>
    </x:xf>
    <x:xf numFmtId="200" fontId="0" fillId="10" borderId="21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left" vertical="center" wrapText="1"/>
    </x:xf>
    <x:xf numFmtId="0" fontId="3" fillId="10" borderId="20" xfId="0" applyNumberFormat="1" applyFont="1" applyFill="1" applyBorder="1" applyAlignment="1">
      <x:alignment horizontal="left" vertical="center" wrapText="1"/>
    </x:xf>
    <x:xf numFmtId="200" fontId="3" fillId="10" borderId="21" xfId="0" applyNumberFormat="1" applyFont="1" applyFill="1" applyBorder="1" applyAlignment="1">
      <x:alignment horizontal="left" vertic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0" borderId="11" xfId="0" applyNumberFormat="1" applyFont="1" applyFill="1" applyBorder="1" applyAlignment="1">
      <x:alignment vertical="center" wrapText="1"/>
    </x:xf>
    <x:xf numFmtId="200" fontId="0" fillId="10" borderId="13" xfId="0" applyNumberFormat="1" applyFont="1" applyFill="1" applyBorder="1" applyAlignment="1">
      <x:alignment vertical="center" wrapText="1"/>
    </x:xf>
    <x:xf numFmtId="0" fontId="0" fillId="10" borderId="8" xfId="0" applyNumberFormat="1" applyFont="1" applyFill="1" applyBorder="1" applyAlignment="1">
      <x:alignment vertical="center" wrapText="1"/>
    </x:xf>
    <x:xf numFmtId="0" fontId="0" fillId="10" borderId="9" xfId="0" applyNumberFormat="1" applyFont="1" applyFill="1" applyBorder="1" applyAlignment="1">
      <x:alignment vertical="center" wrapText="1"/>
    </x:xf>
    <x:xf numFmtId="0" fontId="9" fillId="10" borderId="2" xfId="0" applyNumberFormat="1" applyFont="1" applyFill="1" applyBorder="1" applyAlignment="1">
      <x:alignment horizontal="center" vertical="center" wrapText="1"/>
    </x:xf>
    <x:xf numFmtId="201" fontId="0" fillId="10" borderId="10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 applyAlignment="1">
      <x:alignment vertical="center" wrapText="1"/>
    </x:xf>
    <x:xf numFmtId="0" fontId="10" fillId="10" borderId="20" xfId="0" applyNumberFormat="1" applyFont="1" applyFill="1" applyBorder="1" applyAlignment="1">
      <x:alignment vertical="center" wrapText="1"/>
    </x:xf>
    <x:xf numFmtId="200" fontId="10" fillId="10" borderId="21" xfId="0" applyNumberFormat="1" applyFont="1" applyFill="1" applyBorder="1" applyAlignment="1">
      <x:alignment vertical="center" wrapText="1"/>
    </x:xf>
    <x:xf numFmtId="0" fontId="16" fillId="10" borderId="0" xfId="0" applyNumberFormat="1" applyFont="1" applyFill="1" applyBorder="1" applyAlignment="1">
      <x:alignment horizontal="left" vertical="center" wrapText="1"/>
    </x:xf>
    <x:xf numFmtId="0" fontId="16" fillId="10" borderId="20" xfId="0" applyNumberFormat="1" applyFont="1" applyFill="1" applyBorder="1" applyAlignment="1">
      <x:alignment horizontal="left" vertical="center" wrapText="1"/>
    </x:xf>
    <x:xf numFmtId="200" fontId="16" fillId="10" borderId="21" xfId="0" applyNumberFormat="1" applyFont="1" applyFill="1" applyBorder="1" applyAlignment="1">
      <x:alignment horizontal="left" vertical="center" wrapText="1"/>
    </x:xf>
    <x:xf numFmtId="0" fontId="16" fillId="10" borderId="0" xfId="0" applyNumberFormat="1" applyFont="1" applyFill="1" applyBorder="1" applyAlignment="1">
      <x:alignment horizontal="center" vertical="center" wrapText="1"/>
    </x:xf>
    <x:xf numFmtId="0" fontId="10" fillId="10" borderId="11" xfId="0" applyNumberFormat="1" applyFont="1" applyFill="1" applyBorder="1" applyAlignment="1">
      <x:alignment vertical="center" wrapText="1"/>
    </x:xf>
    <x:xf numFmtId="200" fontId="10" fillId="10" borderId="13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16" fillId="10" borderId="2" xfId="0" applyNumberFormat="1" applyFont="1" applyFill="1" applyBorder="1" applyAlignment="1">
      <x:alignment horizontal="center" vertical="center" wrapText="1"/>
    </x:xf>
    <x:xf numFmtId="201" fontId="10" fillId="10" borderId="10" xfId="0" applyNumberFormat="1" applyFont="1" applyFill="1" applyBorder="1" applyAlignment="1">
      <x:alignment vertical="center" wrapText="1"/>
    </x:xf>
    <x:xf numFmtId="0" fontId="10" fillId="10" borderId="32" xfId="0" applyNumberFormat="1" applyFont="1" applyFill="1" applyBorder="1" applyAlignment="1">
      <x:alignment vertical="center" wrapText="1"/>
    </x:xf>
    <x:xf numFmtId="0" fontId="10" fillId="10" borderId="33" xfId="0" applyNumberFormat="1" applyFont="1" applyFill="1" applyBorder="1" applyAlignment="1">
      <x:alignment vertical="center" wrapText="1"/>
    </x:xf>
    <x:xf numFmtId="0" fontId="10" fillId="10" borderId="34" xfId="0" applyNumberFormat="1" applyFont="1" applyFill="1" applyBorder="1" applyAlignment="1">
      <x:alignment vertical="center" wrapText="1"/>
    </x:xf>
    <x:xf numFmtId="200" fontId="10" fillId="10" borderId="35" xfId="0" applyNumberFormat="1" applyFont="1" applyFill="1" applyBorder="1" applyAlignment="1">
      <x:alignment vertical="center" wrapText="1"/>
    </x:xf>
    <x:xf numFmtId="0" fontId="10" fillId="10" borderId="36" xfId="0" applyNumberFormat="1" applyFont="1" applyFill="1" applyBorder="1" applyAlignment="1">
      <x:alignment vertical="center" wrapText="1"/>
    </x:xf>
    <x:xf numFmtId="0" fontId="16" fillId="10" borderId="37" xfId="0" applyNumberFormat="1" applyFont="1" applyFill="1" applyBorder="1" applyAlignment="1">
      <x:alignment horizontal="left" vertical="center" wrapText="1"/>
    </x:xf>
    <x:xf numFmtId="0" fontId="16" fillId="10" borderId="38" xfId="0" applyNumberFormat="1" applyFont="1" applyFill="1" applyBorder="1" applyAlignment="1">
      <x:alignment horizontal="left" vertical="center" wrapText="1"/>
    </x:xf>
    <x:xf numFmtId="0" fontId="16" fillId="10" borderId="37" xfId="0" applyNumberFormat="1" applyFont="1" applyFill="1" applyBorder="1" applyAlignment="1">
      <x:alignment horizontal="center" vertical="center" wrapText="1"/>
    </x:xf>
    <x:xf numFmtId="0" fontId="10" fillId="10" borderId="38" xfId="0" applyNumberFormat="1" applyFont="1" applyFill="1" applyBorder="1" applyAlignment="1">
      <x:alignment vertical="center" wrapText="1"/>
    </x:xf>
    <x:xf numFmtId="0" fontId="10" fillId="10" borderId="39" xfId="0" applyNumberFormat="1" applyFont="1" applyFill="1" applyBorder="1" applyAlignment="1">
      <x:alignment vertical="center" wrapText="1"/>
    </x:xf>
    <x:xf numFmtId="0" fontId="10" fillId="10" borderId="40" xfId="0" applyNumberFormat="1" applyFont="1" applyFill="1" applyBorder="1" applyAlignment="1">
      <x:alignment vertical="center" wrapText="1"/>
    </x:xf>
    <x:xf numFmtId="0" fontId="16" fillId="10" borderId="41" xfId="0" applyNumberFormat="1" applyFont="1" applyFill="1" applyBorder="1" applyAlignment="1">
      <x:alignment horizontal="center" vertical="center" wrapText="1"/>
    </x:xf>
    <x:xf numFmtId="201" fontId="10" fillId="10" borderId="42" xfId="0" applyNumberFormat="1" applyFont="1" applyFill="1" applyBorder="1" applyAlignment="1">
      <x:alignment vertical="center" wrapText="1"/>
    </x:xf>
    <x:xf numFmtId="0" fontId="10" fillId="10" borderId="43" xfId="0" applyNumberFormat="1" applyFont="1" applyFill="1" applyBorder="1" applyAlignment="1">
      <x:alignment vertical="center" wrapText="1"/>
    </x:xf>
    <x:xf numFmtId="0" fontId="10" fillId="10" borderId="44" xfId="0" applyNumberFormat="1" applyFont="1" applyFill="1" applyBorder="1" applyAlignment="1">
      <x:alignment vertical="center" wrapText="1"/>
    </x:xf>
    <x:xf numFmtId="0" fontId="10" fillId="10" borderId="45" xfId="0" applyNumberFormat="1" applyFont="1" applyFill="1" applyBorder="1" applyAlignment="1">
      <x:alignment vertical="center" wrapText="1"/>
    </x:xf>
    <x:xf numFmtId="0" fontId="0" fillId="10" borderId="22" xfId="0" applyNumberFormat="1" applyFont="1" applyFill="1" applyBorder="1" applyAlignment="1">
      <x:alignment vertical="center" wrapText="1"/>
    </x:xf>
    <x:xf numFmtId="200" fontId="0" fillId="10" borderId="23" xfId="0" applyNumberFormat="1" applyFont="1" applyFill="1" applyBorder="1" applyAlignment="1">
      <x:alignment vertical="center" wrapText="1"/>
    </x:xf>
    <x:xf numFmtId="0" fontId="3" fillId="10" borderId="1" xfId="0" applyNumberFormat="1" applyFont="1" applyFill="1" applyBorder="1" applyAlignment="1">
      <x:alignment horizontal="left" vertical="center" wrapText="1"/>
    </x:xf>
    <x:xf numFmtId="0" fontId="3" fillId="10" borderId="22" xfId="0" applyNumberFormat="1" applyFont="1" applyFill="1" applyBorder="1" applyAlignment="1">
      <x:alignment horizontal="left" vertical="center" wrapText="1"/>
    </x:xf>
    <x:xf numFmtId="200" fontId="3" fillId="10" borderId="23" xfId="0" applyNumberFormat="1" applyFont="1" applyFill="1" applyBorder="1" applyAlignment="1">
      <x:alignment horizontal="left" vertical="center" wrapText="1"/>
    </x:xf>
    <x:xf numFmtId="0" fontId="4" fillId="10" borderId="1" xfId="0" applyNumberFormat="1" applyFont="1" applyFill="1" applyBorder="1" applyAlignment="1">
      <x:alignment horizontal="center" vertical="center" wrapText="1"/>
    </x:xf>
    <x:xf numFmtId="0" fontId="0" fillId="10" borderId="17" xfId="0" applyNumberFormat="1" applyFont="1" applyFill="1" applyBorder="1" applyAlignment="1">
      <x:alignment vertical="center" wrapText="1"/>
    </x:xf>
    <x:xf numFmtId="200" fontId="0" fillId="10" borderId="19" xfId="0" applyNumberFormat="1" applyFont="1" applyFill="1" applyBorder="1" applyAlignment="1">
      <x:alignment vertical="center" wrapText="1"/>
    </x:xf>
    <x:xf numFmtId="0" fontId="0" fillId="10" borderId="14" xfId="0" applyNumberFormat="1" applyFont="1" applyFill="1" applyBorder="1" applyAlignment="1">
      <x:alignment vertical="center" wrapText="1"/>
    </x:xf>
    <x:xf numFmtId="0" fontId="0" fillId="10" borderId="15" xfId="0" applyNumberFormat="1" applyFont="1" applyFill="1" applyBorder="1" applyAlignment="1">
      <x:alignment vertical="center" wrapText="1"/>
    </x:xf>
    <x:xf numFmtId="0" fontId="9" fillId="10" borderId="5" xfId="0" applyNumberFormat="1" applyFont="1" applyFill="1" applyBorder="1" applyAlignment="1">
      <x:alignment horizontal="center" vertical="center" wrapText="1"/>
    </x:xf>
    <x:xf numFmtId="201" fontId="0" fillId="10" borderId="16" xfId="0" applyNumberFormat="1" applyFont="1" applyFill="1" applyBorder="1" applyAlignment="1">
      <x:alignment vertical="center" wrapText="1"/>
    </x:xf>
    <x:xf numFmtId="0" fontId="10" fillId="10" borderId="1" xfId="0" applyNumberFormat="1" applyFont="1" applyFill="1" applyBorder="1" applyAlignment="1">
      <x:alignment vertical="center" wrapText="1"/>
    </x:xf>
    <x:xf numFmtId="0" fontId="10" fillId="10" borderId="22" xfId="0" applyNumberFormat="1" applyFont="1" applyFill="1" applyBorder="1" applyAlignment="1">
      <x:alignment vertical="center" wrapText="1"/>
    </x:xf>
    <x:xf numFmtId="200" fontId="10" fillId="10" borderId="23" xfId="0" applyNumberFormat="1" applyFont="1" applyFill="1" applyBorder="1" applyAlignment="1">
      <x:alignment vertical="center" wrapText="1"/>
    </x:xf>
    <x:xf numFmtId="0" fontId="16" fillId="10" borderId="1" xfId="0" applyNumberFormat="1" applyFont="1" applyFill="1" applyBorder="1" applyAlignment="1">
      <x:alignment horizontal="left" vertical="center" wrapText="1"/>
    </x:xf>
    <x:xf numFmtId="0" fontId="16" fillId="10" borderId="22" xfId="0" applyNumberFormat="1" applyFont="1" applyFill="1" applyBorder="1" applyAlignment="1">
      <x:alignment horizontal="left" vertical="center" wrapText="1"/>
    </x:xf>
    <x:xf numFmtId="200" fontId="16" fillId="10" borderId="23" xfId="0" applyNumberFormat="1" applyFont="1" applyFill="1" applyBorder="1" applyAlignment="1">
      <x:alignment horizontal="left" vertical="center" wrapText="1"/>
    </x:xf>
    <x:xf numFmtId="0" fontId="16" fillId="10" borderId="1" xfId="0" applyNumberFormat="1" applyFont="1" applyFill="1" applyBorder="1" applyAlignment="1">
      <x:alignment horizontal="center" vertical="center" wrapText="1"/>
    </x:xf>
    <x:xf numFmtId="0" fontId="10" fillId="10" borderId="17" xfId="0" applyNumberFormat="1" applyFont="1" applyFill="1" applyBorder="1" applyAlignment="1">
      <x:alignment vertical="center" wrapText="1"/>
    </x:xf>
    <x:xf numFmtId="200" fontId="10" fillId="10" borderId="19" xfId="0" applyNumberFormat="1" applyFont="1" applyFill="1" applyBorder="1" applyAlignment="1">
      <x:alignment vertical="center" wrapText="1"/>
    </x:xf>
    <x:xf numFmtId="0" fontId="10" fillId="10" borderId="14" xfId="0" applyNumberFormat="1" applyFont="1" applyFill="1" applyBorder="1" applyAlignment="1">
      <x:alignment vertical="center" wrapText="1"/>
    </x:xf>
    <x:xf numFmtId="0" fontId="10" fillId="10" borderId="15" xfId="0" applyNumberFormat="1" applyFont="1" applyFill="1" applyBorder="1" applyAlignment="1">
      <x:alignment vertical="center" wrapText="1"/>
    </x:xf>
    <x:xf numFmtId="0" fontId="16" fillId="10" borderId="5" xfId="0" applyNumberFormat="1" applyFont="1" applyFill="1" applyBorder="1" applyAlignment="1">
      <x:alignment horizontal="center" vertical="center" wrapText="1"/>
    </x:xf>
    <x:xf numFmtId="201" fontId="10" fillId="10" borderId="16" xfId="0" applyNumberFormat="1" applyFont="1" applyFill="1" applyBorder="1" applyAlignment="1">
      <x:alignment vertical="center" wrapText="1"/>
    </x:xf>
    <x:xf numFmtId="0" fontId="10" fillId="10" borderId="46" xfId="0" applyNumberFormat="1" applyFont="1" applyFill="1" applyBorder="1" applyAlignment="1">
      <x:alignment vertical="center" wrapText="1"/>
    </x:xf>
    <x:xf numFmtId="0" fontId="10" fillId="10" borderId="47" xfId="0" applyNumberFormat="1" applyFont="1" applyFill="1" applyBorder="1" applyAlignment="1">
      <x:alignment vertical="center" wrapText="1"/>
    </x:xf>
    <x:xf numFmtId="0" fontId="10" fillId="10" borderId="48" xfId="0" applyNumberFormat="1" applyFont="1" applyFill="1" applyBorder="1" applyAlignment="1">
      <x:alignment vertical="center" wrapText="1"/>
    </x:xf>
    <x:xf numFmtId="200" fontId="10" fillId="10" borderId="49" xfId="0" applyNumberFormat="1" applyFont="1" applyFill="1" applyBorder="1" applyAlignment="1">
      <x:alignment vertical="center" wrapText="1"/>
    </x:xf>
    <x:xf numFmtId="0" fontId="10" fillId="10" borderId="50" xfId="0" applyNumberFormat="1" applyFont="1" applyFill="1" applyBorder="1" applyAlignment="1">
      <x:alignment vertical="center" wrapText="1"/>
    </x:xf>
    <x:xf numFmtId="0" fontId="16" fillId="10" borderId="51" xfId="0" applyNumberFormat="1" applyFont="1" applyFill="1" applyBorder="1" applyAlignment="1">
      <x:alignment horizontal="left" vertical="center" wrapText="1"/>
    </x:xf>
    <x:xf numFmtId="0" fontId="16" fillId="10" borderId="52" xfId="0" applyNumberFormat="1" applyFont="1" applyFill="1" applyBorder="1" applyAlignment="1">
      <x:alignment horizontal="left" vertical="center" wrapText="1"/>
    </x:xf>
    <x:xf numFmtId="0" fontId="16" fillId="10" borderId="51" xfId="0" applyNumberFormat="1" applyFont="1" applyFill="1" applyBorder="1" applyAlignment="1">
      <x:alignment horizontal="center" vertical="center" wrapText="1"/>
    </x:xf>
    <x:xf numFmtId="0" fontId="10" fillId="10" borderId="52" xfId="0" applyNumberFormat="1" applyFont="1" applyFill="1" applyBorder="1" applyAlignment="1">
      <x:alignment vertical="center" wrapText="1"/>
    </x:xf>
    <x:xf numFmtId="0" fontId="10" fillId="10" borderId="53" xfId="0" applyNumberFormat="1" applyFont="1" applyFill="1" applyBorder="1" applyAlignment="1">
      <x:alignment vertical="center" wrapText="1"/>
    </x:xf>
    <x:xf numFmtId="0" fontId="10" fillId="10" borderId="54" xfId="0" applyNumberFormat="1" applyFont="1" applyFill="1" applyBorder="1" applyAlignment="1">
      <x:alignment vertical="center" wrapText="1"/>
    </x:xf>
    <x:xf numFmtId="0" fontId="16" fillId="10" borderId="55" xfId="0" applyNumberFormat="1" applyFont="1" applyFill="1" applyBorder="1" applyAlignment="1">
      <x:alignment horizontal="center" vertical="center" wrapText="1"/>
    </x:xf>
    <x:xf numFmtId="201" fontId="10" fillId="10" borderId="56" xfId="0" applyNumberFormat="1" applyFont="1" applyFill="1" applyBorder="1" applyAlignment="1">
      <x:alignment vertical="center" wrapText="1"/>
    </x:xf>
    <x:xf numFmtId="0" fontId="10" fillId="10" borderId="57" xfId="0" applyNumberFormat="1" applyFont="1" applyFill="1" applyBorder="1" applyAlignment="1">
      <x:alignment vertical="center" wrapText="1"/>
    </x:xf>
    <x:xf numFmtId="0" fontId="10" fillId="10" borderId="58" xfId="0" applyNumberFormat="1" applyFont="1" applyFill="1" applyBorder="1" applyAlignment="1">
      <x:alignment vertical="center" wrapText="1"/>
    </x:xf>
    <x:xf numFmtId="0" fontId="10" fillId="10" borderId="59" xfId="0" applyNumberFormat="1" applyFont="1" applyFill="1" applyBorder="1" applyAlignment="1">
      <x:alignment vertic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201" fontId="0" fillId="10" borderId="21" xfId="0" applyNumberFormat="1" applyFont="1" applyFill="1" applyBorder="1" applyAlignment="1">
      <x:alignment vertical="center" wrapText="1"/>
    </x:xf>
    <x:xf numFmtId="0" fontId="0" fillId="10" borderId="12" xfId="0" applyNumberFormat="1" applyFont="1" applyFill="1" applyBorder="1" applyAlignment="1">
      <x:alignment vertical="center" wrapText="1"/>
    </x:xf>
    <x:xf numFmtId="0" fontId="9" fillId="10" borderId="4" xfId="0" applyNumberFormat="1" applyFont="1" applyFill="1" applyBorder="1" applyAlignment="1">
      <x:alignment horizontal="center" vertical="center" wrapText="1"/>
    </x:xf>
    <x:xf numFmtId="201" fontId="0" fillId="10" borderId="13" xfId="0" applyNumberFormat="1" applyFont="1" applyFill="1" applyBorder="1" applyAlignment="1">
      <x:alignment vertical="center" wrapText="1"/>
    </x:xf>
    <x:xf numFmtId="0" fontId="11" fillId="10" borderId="11" xfId="0" applyNumberFormat="1" applyFont="1" applyFill="1" applyBorder="1" applyAlignment="1">
      <x:alignment horizontal="center" vertical="center" wrapText="1"/>
    </x:xf>
    <x:xf numFmtId="0" fontId="11" fillId="10" borderId="12" xfId="0" applyNumberFormat="1" applyFont="1" applyFill="1" applyBorder="1" applyAlignment="1">
      <x:alignment horizontal="center" vertical="center" wrapText="1"/>
    </x:xf>
    <x:xf numFmtId="0" fontId="15" fillId="10" borderId="4" xfId="0" applyNumberFormat="1" applyFont="1" applyFill="1" applyBorder="1" applyAlignment="1">
      <x:alignment horizontal="center" vertical="center" wrapText="1"/>
    </x:xf>
    <x:xf numFmtId="201" fontId="11" fillId="10" borderId="13" xfId="0" applyNumberFormat="1" applyFont="1" applyFill="1" applyBorder="1" applyAlignment="1">
      <x:alignment horizontal="center" vertical="center" wrapText="1"/>
    </x:xf>
    <x:xf numFmtId="0" fontId="16" fillId="10" borderId="3" xfId="0" applyNumberFormat="1" applyFont="1" applyFill="1" applyBorder="1" applyAlignment="1">
      <x:alignment horizontal="center" vertical="center" wrapText="1"/>
    </x:xf>
    <x:xf numFmtId="201" fontId="10" fillId="10" borderId="21" xfId="0" applyNumberFormat="1" applyFont="1" applyFill="1" applyBorder="1" applyAlignment="1">
      <x:alignment vertical="center" wrapText="1"/>
    </x:xf>
    <x:xf numFmtId="0" fontId="10" fillId="10" borderId="12" xfId="0" applyNumberFormat="1" applyFont="1" applyFill="1" applyBorder="1" applyAlignment="1">
      <x:alignment vertical="center" wrapText="1"/>
    </x:xf>
    <x:xf numFmtId="0" fontId="16" fillId="10" borderId="4" xfId="0" applyNumberFormat="1" applyFont="1" applyFill="1" applyBorder="1" applyAlignment="1">
      <x:alignment horizontal="center" vertical="center" wrapText="1"/>
    </x:xf>
    <x:xf numFmtId="201" fontId="10" fillId="10" borderId="13" xfId="0" applyNumberFormat="1" applyFont="1" applyFill="1" applyBorder="1" applyAlignment="1">
      <x:alignment vertical="center" wrapText="1"/>
    </x:xf>
    <x:xf numFmtId="0" fontId="16" fillId="10" borderId="11" xfId="0" applyNumberFormat="1" applyFont="1" applyFill="1" applyBorder="1" applyAlignment="1">
      <x:alignment horizontal="center" vertical="center" wrapText="1"/>
    </x:xf>
    <x:xf numFmtId="0" fontId="16" fillId="10" borderId="12" xfId="0" applyNumberFormat="1" applyFont="1" applyFill="1" applyBorder="1" applyAlignment="1">
      <x:alignment horizontal="center" vertical="center" wrapText="1"/>
    </x:xf>
    <x:xf numFmtId="201" fontId="16" fillId="10" borderId="13" xfId="0" applyNumberFormat="1" applyFont="1" applyFill="1" applyBorder="1" applyAlignment="1">
      <x:alignment horizontal="center" vertical="center" wrapText="1"/>
    </x:xf>
    <x:xf numFmtId="0" fontId="9" fillId="10" borderId="6" xfId="0" applyNumberFormat="1" applyFont="1" applyFill="1" applyBorder="1" applyAlignment="1">
      <x:alignment horizontal="center" vertical="center" wrapText="1"/>
    </x:xf>
    <x:xf numFmtId="201" fontId="0" fillId="10" borderId="23" xfId="0" applyNumberFormat="1" applyFont="1" applyFill="1" applyBorder="1" applyAlignment="1">
      <x:alignment vertical="center" wrapText="1"/>
    </x:xf>
    <x:xf numFmtId="0" fontId="0" fillId="10" borderId="18" xfId="0" applyNumberFormat="1" applyFont="1" applyFill="1" applyBorder="1" applyAlignment="1">
      <x:alignment vertical="center" wrapText="1"/>
    </x:xf>
    <x:xf numFmtId="0" fontId="9" fillId="10" borderId="7" xfId="0" applyNumberFormat="1" applyFont="1" applyFill="1" applyBorder="1" applyAlignment="1">
      <x:alignment horizontal="center" vertical="center" wrapText="1"/>
    </x:xf>
    <x:xf numFmtId="201" fontId="0" fillId="10" borderId="19" xfId="0" applyNumberFormat="1" applyFont="1" applyFill="1" applyBorder="1" applyAlignment="1">
      <x:alignment vertical="center" wrapText="1"/>
    </x:xf>
    <x:xf numFmtId="0" fontId="11" fillId="10" borderId="17" xfId="0" applyNumberFormat="1" applyFont="1" applyFill="1" applyBorder="1" applyAlignment="1">
      <x:alignment horizontal="center" vertical="center" wrapText="1"/>
    </x:xf>
    <x:xf numFmtId="0" fontId="11" fillId="10" borderId="18" xfId="0" applyNumberFormat="1" applyFont="1" applyFill="1" applyBorder="1" applyAlignment="1">
      <x:alignment horizontal="center" vertical="center" wrapText="1"/>
    </x:xf>
    <x:xf numFmtId="0" fontId="15" fillId="10" borderId="7" xfId="0" applyNumberFormat="1" applyFont="1" applyFill="1" applyBorder="1" applyAlignment="1">
      <x:alignment horizontal="center" vertical="center" wrapText="1"/>
    </x:xf>
    <x:xf numFmtId="201" fontId="11" fillId="10" borderId="19" xfId="0" applyNumberFormat="1" applyFont="1" applyFill="1" applyBorder="1" applyAlignment="1">
      <x:alignment horizontal="center" vertical="center" wrapText="1"/>
    </x:xf>
    <x:xf numFmtId="0" fontId="16" fillId="10" borderId="6" xfId="0" applyNumberFormat="1" applyFont="1" applyFill="1" applyBorder="1" applyAlignment="1">
      <x:alignment horizontal="center" vertical="center" wrapText="1"/>
    </x:xf>
    <x:xf numFmtId="201" fontId="10" fillId="10" borderId="23" xfId="0" applyNumberFormat="1" applyFont="1" applyFill="1" applyBorder="1" applyAlignment="1">
      <x:alignment vertical="center" wrapText="1"/>
    </x:xf>
    <x:xf numFmtId="0" fontId="10" fillId="10" borderId="18" xfId="0" applyNumberFormat="1" applyFont="1" applyFill="1" applyBorder="1" applyAlignment="1">
      <x:alignment vertical="center" wrapText="1"/>
    </x:xf>
    <x:xf numFmtId="0" fontId="16" fillId="10" borderId="7" xfId="0" applyNumberFormat="1" applyFont="1" applyFill="1" applyBorder="1" applyAlignment="1">
      <x:alignment horizontal="center" vertical="center" wrapText="1"/>
    </x:xf>
    <x:xf numFmtId="201" fontId="10" fillId="10" borderId="19" xfId="0" applyNumberFormat="1" applyFont="1" applyFill="1" applyBorder="1" applyAlignment="1">
      <x:alignment vertical="center" wrapText="1"/>
    </x:xf>
    <x:xf numFmtId="0" fontId="16" fillId="10" borderId="17" xfId="0" applyNumberFormat="1" applyFont="1" applyFill="1" applyBorder="1" applyAlignment="1">
      <x:alignment horizontal="center" vertical="center" wrapText="1"/>
    </x:xf>
    <x:xf numFmtId="0" fontId="16" fillId="10" borderId="18" xfId="0" applyNumberFormat="1" applyFont="1" applyFill="1" applyBorder="1" applyAlignment="1">
      <x:alignment horizontal="center" vertical="center" wrapText="1"/>
    </x:xf>
    <x:xf numFmtId="201" fontId="16" fillId="10" borderId="19" xfId="0" applyNumberFormat="1" applyFont="1" applyFill="1" applyBorder="1" applyAlignment="1">
      <x:alignment horizontal="center" vertical="center" wrapText="1"/>
    </x:xf>
    <x:xf numFmtId="0" fontId="16" fillId="9" borderId="2" xfId="0" applyNumberFormat="1" applyFont="1" applyFill="1" applyBorder="1" applyAlignment="1">
      <x:alignment horizontal="center" vertical="center" wrapText="1"/>
    </x:xf>
    <x:xf numFmtId="0" fontId="16" fillId="9" borderId="3" xfId="0" applyNumberFormat="1" applyFont="1" applyFill="1" applyBorder="1" applyAlignment="1">
      <x:alignment horizontal="center" vertical="center" wrapText="1"/>
    </x:xf>
    <x:xf numFmtId="0" fontId="16" fillId="9" borderId="4" xfId="0" applyNumberFormat="1" applyFont="1" applyFill="1" applyBorder="1" applyAlignment="1">
      <x:alignment horizontal="center" vertical="center" wrapText="1"/>
    </x:xf>
    <x:xf numFmtId="0" fontId="17" fillId="9" borderId="2" xfId="0" applyNumberFormat="1" applyFont="1" applyFill="1" applyBorder="1" applyAlignment="1">
      <x:alignment horizontal="center" vertical="center" wrapText="1"/>
    </x:xf>
    <x:xf numFmtId="0" fontId="17" fillId="9" borderId="3" xfId="0" applyNumberFormat="1" applyFont="1" applyFill="1" applyBorder="1" applyAlignment="1">
      <x:alignment horizontal="center" vertical="center" wrapText="1"/>
    </x:xf>
    <x:xf numFmtId="0" fontId="17" fillId="9" borderId="4" xfId="0" applyNumberFormat="1" applyFont="1" applyFill="1" applyBorder="1" applyAlignment="1">
      <x:alignment horizontal="center" vertical="center" wrapText="1"/>
    </x:xf>
    <x:xf numFmtId="0" fontId="16" fillId="9" borderId="5" xfId="0" applyNumberFormat="1" applyFont="1" applyFill="1" applyBorder="1" applyAlignment="1">
      <x:alignment horizontal="center" vertical="center" wrapText="1"/>
    </x:xf>
    <x:xf numFmtId="0" fontId="16" fillId="9" borderId="6" xfId="0" applyNumberFormat="1" applyFont="1" applyFill="1" applyBorder="1" applyAlignment="1">
      <x:alignment horizontal="center" vertical="center" wrapText="1"/>
    </x:xf>
    <x:xf numFmtId="0" fontId="16" fillId="9" borderId="7" xfId="0" applyNumberFormat="1" applyFont="1" applyFill="1" applyBorder="1" applyAlignment="1">
      <x:alignment horizontal="center" vertical="center" wrapText="1"/>
    </x:xf>
    <x:xf numFmtId="0" fontId="17" fillId="9" borderId="5" xfId="0" applyNumberFormat="1" applyFont="1" applyFill="1" applyBorder="1" applyAlignment="1">
      <x:alignment horizontal="center" vertical="center" wrapText="1"/>
    </x:xf>
    <x:xf numFmtId="0" fontId="17" fillId="9" borderId="6" xfId="0" applyNumberFormat="1" applyFont="1" applyFill="1" applyBorder="1" applyAlignment="1">
      <x:alignment horizontal="center" vertical="center" wrapText="1"/>
    </x:xf>
    <x:xf numFmtId="0" fontId="17" fillId="9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16A34A"/>
      </x:font>
      <x:fill>
        <x:patternFill patternType="solid">
          <x:bgColor rgb="FFECFDF5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16A34A"/>
      </x:font>
      <x:fill>
        <x:patternFill patternType="solid">
          <x:bgColor rgb="FFECFDF5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D97706"/>
      </x:font>
      <x:fill>
        <x:patternFill patternType="solid">
          <x:bgColor rgb="FFFFFBEB"/>
        </x:patternFill>
      </x:fill>
    </x:dxf>
    <x:dxf>
      <x:font>
        <x:color rgb="FF94A3B8"/>
      </x:font>
      <x:fill>
        <x:patternFill patternType="solid">
          <x:bgColor rgb="FFF1F5F9"/>
        </x:patternFill>
      </x:fill>
    </x:dxf>
    <x:dxf>
      <x:font>
        <x:b/>
        <x:color rgb="FF16A34A"/>
      </x:font>
      <x:fill>
        <x:patternFill patternType="solid">
          <x:bgColor rgb="FFECFDF5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D97706"/>
      </x:font>
      <x:fill>
        <x:patternFill patternType="solid">
          <x:bgColor rgb="FFFFFB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3e2e521344200" /><Relationship Type="http://schemas.openxmlformats.org/officeDocument/2006/relationships/theme" Target="/xl/theme/theme1.xml" Id="R9d8aa63770de43a9" /><Relationship Type="http://schemas.openxmlformats.org/officeDocument/2006/relationships/sharedStrings" Target="/xl/sharedStrings.xml" Id="Rfdf96ab04e5344b2" /><Relationship Type="http://schemas.openxmlformats.org/officeDocument/2006/relationships/worksheet" Target="/xl/worksheets/sheet1.xml" Id="Rd9b02fd12fda4ec7" /><Relationship Type="http://schemas.openxmlformats.org/officeDocument/2006/relationships/worksheet" Target="/xl/worksheets/sheet2.xml" Id="R19c0e50de33949b2" /><Relationship Type="http://schemas.openxmlformats.org/officeDocument/2006/relationships/worksheet" Target="/xl/worksheets/sheet3.xml" Id="R637ac9ae5ba04d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e24e4983ef477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Attendance Progress by Academic Week</a:t>
            </a:r>
          </a:p>
        </c:rich>
      </c:tx>
    </c:title>
    <c:plotArea>
      <c:lineChart>
        <c:grouping val="standard"/>
        <c:ser>
          <c:idx val="0"/>
          <c:order val="0"/>
          <c:tx>
            <c:v>Overall Attendance</c:v>
          </c:tx>
          <c:marker>
            <c:symbol val="none"/>
          </c:marker>
          <c:cat>
            <c:strRef>
              <c:f>'Dashboard'!$M$13:$M$25</c:f>
              <c:strCache>
                <c:ptCount val="0"/>
              </c:strCache>
            </c:strRef>
          </c:cat>
          <c:val>
            <c:numRef>
              <c:f>'Dashboard'!$N$13:$N$25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26</xdr:row>
      <xdr:rowOff>0</xdr:rowOff>
    </xdr:from>
    <xdr:to>
      <xdr:col>17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e24e4983ef477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105744d4cb4ae2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3" hidden="0" customWidth="1"/>
    <x:col min="13" max="13" width="14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1" ht="34" customHeight="1">
      <x:c r="A1" s="463" t="str">
        <x:v>BECM 2K22 • 3rd Year • 2nd Term</x:v>
      </x:c>
      <x:c r="B1" s="463"/>
      <x:c r="C1" s="463"/>
      <x:c r="D1" s="463"/>
      <x:c r="E1" s="463"/>
      <x:c r="F1" s="463"/>
      <x:c r="G1" s="463"/>
      <x:c r="H1" s="463"/>
      <x:c r="I1" s="463"/>
      <x:c r="J1" s="463"/>
      <x:c r="K1" s="463"/>
      <x:c r="L1" s="463"/>
      <x:c r="M1" s="463"/>
      <x:c r="N1" s="463"/>
      <x:c r="O1" s="463"/>
      <x:c r="P1" s="463"/>
      <x:c r="Q1" s="463"/>
    </x:row>
    <x:row r="2">
      <x:c r="A2" s="464" t="str">
        <x:v>Attendance + Class Test Tracker | 06 Sep–10 Dec 2026 | Minimum exam attendance: 60%</x:v>
      </x:c>
      <x:c r="B2" s="464"/>
      <x:c r="C2" s="464"/>
      <x:c r="D2" s="464"/>
      <x:c r="E2" s="464"/>
      <x:c r="F2" s="464"/>
      <x:c r="G2" s="464"/>
      <x:c r="H2" s="464"/>
      <x:c r="I2" s="464"/>
      <x:c r="J2" s="464"/>
      <x:c r="K2" s="464"/>
      <x:c r="L2" s="464"/>
      <x:c r="M2" s="464"/>
      <x:c r="N2" s="464"/>
      <x:c r="O2" s="464"/>
      <x:c r="P2" s="464"/>
      <x:c r="Q2" s="464"/>
    </x:row>
    <x:row r="3">
      <x:c r="A3" s="465"/>
      <x:c r="B3" s="465"/>
      <x:c r="C3" s="465"/>
      <x:c r="D3" s="465"/>
      <x:c r="E3" s="465"/>
      <x:c r="F3" s="465"/>
      <x:c r="G3" s="465"/>
      <x:c r="H3" s="465"/>
      <x:c r="I3" s="465"/>
      <x:c r="J3" s="465"/>
      <x:c r="K3" s="465"/>
      <x:c r="L3" s="465"/>
      <x:c r="M3" s="465"/>
      <x:c r="N3" s="465"/>
      <x:c r="O3" s="465"/>
      <x:c r="P3" s="465"/>
      <x:c r="Q3" s="465"/>
    </x:row>
    <x:row r="4">
      <x:c r="A4" s="466" t="str">
        <x:v>YOUR SESSIONAL SLOTS</x:v>
      </x:c>
      <x:c r="B4" s="466"/>
      <x:c r="C4" s="466"/>
      <x:c r="D4" s="466"/>
      <x:c r="E4" s="465"/>
      <x:c r="F4" s="467" t="str">
        <x:v>Overall Attendance</x:v>
      </x:c>
      <x:c r="G4" s="467"/>
      <x:c r="H4" s="467"/>
      <x:c r="I4" s="467" t="str">
        <x:v>Exam Status</x:v>
      </x:c>
      <x:c r="J4" s="467"/>
      <x:c r="K4" s="467"/>
      <x:c r="L4" s="467" t="str">
        <x:v>Attended</x:v>
      </x:c>
      <x:c r="M4" s="467"/>
      <x:c r="N4" s="467"/>
      <x:c r="O4" s="467" t="str">
        <x:v>Missed</x:v>
      </x:c>
      <x:c r="P4" s="467"/>
      <x:c r="Q4" s="467"/>
    </x:row>
    <x:row r="5">
      <x:c r="A5" s="468" t="str">
        <x:v>BECM 3204</x:v>
      </x:c>
      <x:c r="B5" s="468" t="str">
        <x:v>Regular slot</x:v>
      </x:c>
      <x:c r="C5" s="469" t="str">
        <x:v>Sun PM</x:v>
      </x:c>
      <x:c r="D5" s="465"/>
      <x:c r="E5" s="465"/>
      <x:c r="F5" s="470" t="str">
        <x:f>IF((F8+I8)=0,"",F8/(F8+I8))</x:f>
      </x:c>
      <x:c r="G5" s="471"/>
      <x:c r="H5" s="472"/>
      <x:c r="I5" s="473" t="str">
        <x:f>IF((F8+I8)=0,"No data",IF(F5&gt;=60%,"Eligible","Below 60%"))</x:f>
        <x:v>No data</x:v>
      </x:c>
      <x:c r="J5" s="474"/>
      <x:c r="K5" s="475"/>
      <x:c r="L5" s="476" t="n">
        <x:f>F8</x:f>
        <x:v>0</x:v>
      </x:c>
      <x:c r="M5" s="477"/>
      <x:c r="N5" s="478"/>
      <x:c r="O5" s="479" t="n">
        <x:f>I8</x:f>
        <x:v>0</x:v>
      </x:c>
      <x:c r="P5" s="480"/>
      <x:c r="Q5" s="481"/>
    </x:row>
    <x:row r="6">
      <x:c r="A6" s="468" t="str">
        <x:v>BECM 3208</x:v>
      </x:c>
      <x:c r="B6" s="468" t="str">
        <x:v>Regular slot</x:v>
      </x:c>
      <x:c r="C6" s="482" t="str">
        <x:v>Tue PM</x:v>
      </x:c>
      <x:c r="D6" s="465"/>
      <x:c r="E6" s="465"/>
      <x:c r="F6" s="483"/>
      <x:c r="G6" s="484"/>
      <x:c r="H6" s="485"/>
      <x:c r="I6" s="486"/>
      <x:c r="J6" s="487"/>
      <x:c r="K6" s="488"/>
      <x:c r="L6" s="489"/>
      <x:c r="M6" s="490"/>
      <x:c r="N6" s="491"/>
      <x:c r="O6" s="492"/>
      <x:c r="P6" s="493"/>
      <x:c r="Q6" s="494"/>
    </x:row>
    <x:row r="7">
      <x:c r="A7" s="468" t="str">
        <x:v>CE 3224</x:v>
      </x:c>
      <x:c r="B7" s="468" t="str">
        <x:v>Regular slot</x:v>
      </x:c>
      <x:c r="C7" s="482" t="str">
        <x:v>Tue AM</x:v>
      </x:c>
      <x:c r="D7" s="465"/>
      <x:c r="E7" s="465"/>
      <x:c r="F7" s="465"/>
      <x:c r="G7" s="465"/>
      <x:c r="H7" s="465"/>
      <x:c r="I7" s="465"/>
      <x:c r="J7" s="465"/>
      <x:c r="K7" s="465"/>
      <x:c r="L7" s="465"/>
      <x:c r="M7" s="465"/>
      <x:c r="N7" s="465"/>
      <x:c r="O7" s="465"/>
      <x:c r="P7" s="465"/>
      <x:c r="Q7" s="465"/>
    </x:row>
    <x:row r="8">
      <x:c r="A8" s="468" t="str">
        <x:v>BECM 3200</x:v>
      </x:c>
      <x:c r="B8" s="468" t="str">
        <x:v>Cycle</x:v>
      </x:c>
      <x:c r="C8" s="495" t="str">
        <x:v>Odd Weeks</x:v>
      </x:c>
      <x:c r="D8" s="465"/>
      <x:c r="E8" s="465"/>
      <x:c r="F8" s="496" t="n">
        <x:f>COUNTIFS('Class Log'!$I$7:$I$352,"Yes",'Class Log'!$J$7:$J$352,"Attended")</x:f>
        <x:v>0</x:v>
      </x:c>
      <x:c r="G8" s="496"/>
      <x:c r="H8" s="496"/>
      <x:c r="I8" s="496" t="n">
        <x:f>COUNTIFS('Class Log'!$I$7:$I$352,"Yes",'Class Log'!$J$7:$J$352,"Missed")</x:f>
        <x:v>0</x:v>
      </x:c>
      <x:c r="J8" s="496"/>
      <x:c r="K8" s="496"/>
      <x:c r="L8" s="496" t="n">
        <x:f>COUNTIFS('Class Log'!$E$7:$E$352,"Extra",'Class Log'!$J$7:$J$352,"Attended")+COUNTIFS('Class Log'!$E$7:$E$352,"Extra",'Class Log'!$J$7:$J$352,"Missed")</x:f>
        <x:v>0</x:v>
      </x:c>
      <x:c r="M8" s="496"/>
      <x:c r="N8" s="496"/>
      <x:c r="O8" s="496" t="n">
        <x:f>COUNTIFS('Class Log'!$I$7:$I$352,"Yes",'Class Log'!$J$7:$J$352,"Cancelled")</x:f>
        <x:v>0</x:v>
      </x:c>
      <x:c r="P8" s="496"/>
      <x:c r="Q8" s="496"/>
    </x:row>
    <x:row r="9">
      <x:c r="A9" s="404" t="str">
        <x:v>Choose only these 4 items once. Everything else updates automatically.</x:v>
      </x:c>
      <x:c r="B9" s="404"/>
      <x:c r="C9" s="404"/>
      <x:c r="D9" s="404"/>
      <x:c r="E9" s="465"/>
      <x:c r="F9" s="465"/>
      <x:c r="G9" s="465"/>
      <x:c r="H9" s="465"/>
      <x:c r="I9" s="465"/>
      <x:c r="J9" s="465"/>
      <x:c r="K9" s="465"/>
      <x:c r="L9" s="465"/>
      <x:c r="M9" s="465"/>
      <x:c r="N9" s="465"/>
      <x:c r="O9" s="465"/>
      <x:c r="P9" s="465"/>
      <x:c r="Q9" s="465"/>
    </x:row>
    <x:row r="10">
      <x:c r="A10" s="465"/>
      <x:c r="B10" s="465"/>
      <x:c r="C10" s="465"/>
      <x:c r="D10" s="465"/>
      <x:c r="E10" s="465"/>
      <x:c r="F10" s="465"/>
      <x:c r="G10" s="465"/>
      <x:c r="H10" s="465"/>
      <x:c r="I10" s="465"/>
      <x:c r="J10" s="465"/>
      <x:c r="K10" s="465"/>
      <x:c r="L10" s="465"/>
      <x:c r="M10" s="465"/>
      <x:c r="N10" s="465"/>
      <x:c r="O10" s="465"/>
      <x:c r="P10" s="465"/>
      <x:c r="Q10" s="465"/>
    </x:row>
    <x:row r="11">
      <x:c r="A11" s="466" t="str">
        <x:v>COURSE PROGRESS</x:v>
      </x:c>
      <x:c r="B11" s="466"/>
      <x:c r="C11" s="466"/>
      <x:c r="D11" s="466"/>
      <x:c r="E11" s="466"/>
      <x:c r="F11" s="466"/>
      <x:c r="G11" s="466"/>
      <x:c r="H11" s="466"/>
      <x:c r="I11" s="466"/>
      <x:c r="J11" s="466"/>
      <x:c r="K11" s="466"/>
      <x:c r="L11" s="465"/>
      <x:c r="M11" s="466" t="str">
        <x:v>13-WEEK PROGRESSION</x:v>
      </x:c>
      <x:c r="N11" s="466"/>
      <x:c r="O11" s="466"/>
      <x:c r="P11" s="466"/>
      <x:c r="Q11" s="466"/>
    </x:row>
    <x:row r="12">
      <x:c r="A12" s="186" t="str">
        <x:v>Course</x:v>
      </x:c>
      <x:c r="B12" s="186" t="str">
        <x:v>Credit</x:v>
      </x:c>
      <x:c r="C12" s="186" t="str">
        <x:v>Planned</x:v>
      </x:c>
      <x:c r="D12" s="186" t="str">
        <x:v>Regular Held</x:v>
      </x:c>
      <x:c r="E12" s="186" t="str">
        <x:v>Extra Held</x:v>
      </x:c>
      <x:c r="F12" s="186" t="str">
        <x:v>Attended</x:v>
      </x:c>
      <x:c r="G12" s="186" t="str">
        <x:v>Missed</x:v>
      </x:c>
      <x:c r="H12" s="186" t="str">
        <x:v>Cancelled</x:v>
      </x:c>
      <x:c r="I12" s="186" t="str">
        <x:v>Attendance</x:v>
      </x:c>
      <x:c r="J12" s="186" t="str">
        <x:v>Can Miss Now</x:v>
      </x:c>
      <x:c r="K12" s="186" t="str">
        <x:v>Status</x:v>
      </x:c>
      <x:c r="L12" s="465"/>
      <x:c r="M12" s="215" t="str">
        <x:v>Week</x:v>
      </x:c>
      <x:c r="N12" s="216" t="str">
        <x:v>Overall Attendance</x:v>
      </x:c>
      <x:c r="O12" s="465"/>
      <x:c r="P12" s="465"/>
      <x:c r="Q12" s="465"/>
    </x:row>
    <x:row r="13">
      <x:c r="A13" s="497" t="str">
        <x:v>BECM 3201</x:v>
      </x:c>
      <x:c r="B13" s="498" t="n">
        <x:v>3</x:v>
      </x:c>
      <x:c r="C13" s="498" t="n">
        <x:f>COUNTIFS('Class Log'!$D$7:$D$352,$A13,'Class Log'!$E$7:$E$352,"Regular",'Class Log'!$I$7:$I$352,"Yes")</x:f>
        <x:v>39</x:v>
      </x:c>
      <x:c r="D13" s="498" t="n">
        <x:f>COUNTIFS('Class Log'!$D$7:$D$352,$A13,'Class Log'!$E$7:$E$352,"Regular",'Class Log'!$I$7:$I$352,"Yes",'Class Log'!$J$7:$J$352,"Attended")+COUNTIFS('Class Log'!$D$7:$D$352,$A13,'Class Log'!$E$7:$E$352,"Regular",'Class Log'!$I$7:$I$352,"Yes",'Class Log'!$J$7:$J$352,"Missed")</x:f>
        <x:v>0</x:v>
      </x:c>
      <x:c r="E13" s="498" t="n">
        <x:f>COUNTIFS('Class Log'!$D$7:$D$352,$A13,'Class Log'!$E$7:$E$352,"Extra",'Class Log'!$J$7:$J$352,"Attended")+COUNTIFS('Class Log'!$D$7:$D$352,$A13,'Class Log'!$E$7:$E$352,"Extra",'Class Log'!$J$7:$J$352,"Missed")</x:f>
        <x:v>0</x:v>
      </x:c>
      <x:c r="F13" s="498" t="n">
        <x:f>COUNTIFS('Class Log'!$D$7:$D$352,$A13,'Class Log'!$I$7:$I$352,"Yes",'Class Log'!$J$7:$J$352,"Attended")</x:f>
        <x:v>0</x:v>
      </x:c>
      <x:c r="G13" s="498" t="n">
        <x:f>COUNTIFS('Class Log'!$D$7:$D$352,$A13,'Class Log'!$I$7:$I$352,"Yes",'Class Log'!$J$7:$J$352,"Missed")</x:f>
        <x:v>0</x:v>
      </x:c>
      <x:c r="H13" s="498" t="n">
        <x:f>COUNTIFS('Class Log'!$D$7:$D$352,$A13,'Class Log'!$I$7:$I$352,"Yes",'Class Log'!$J$7:$J$352,"Cancelled")</x:f>
        <x:v>0</x:v>
      </x:c>
      <x:c r="I13" s="499" t="str">
        <x:f>IF((D13+E13)=0,"",F13/(D13+E13))</x:f>
      </x:c>
      <x:c r="J13" s="498" t="str">
        <x:f>IF((D13+E13)=0,"",MAX(0,INT(F13/60%-(D13+E13))))</x:f>
      </x:c>
      <x:c r="K13" s="500" t="str">
        <x:f>IF((D13+E13)=0,"No data",IF(I13&gt;=60%,"Eligible","Below 60%"))</x:f>
        <x:v>No data</x:v>
      </x:c>
      <x:c r="L13" s="465"/>
      <x:c r="M13" s="501" t="n">
        <x:v>1</x:v>
      </x:c>
      <x:c r="N13" s="502" t="str">
        <x:f>IF((COUNTIFS('Class Log'!$C$7:$C$352,M13,'Class Log'!$I$7:$I$352,"Yes",'Class Log'!$J$7:$J$352,"Attended")+COUNTIFS('Class Log'!$C$7:$C$352,M13,'Class Log'!$I$7:$I$352,"Yes",'Class Log'!$J$7:$J$352,"Missed"))=0,"",COUNTIFS('Class Log'!$C$7:$C$352,M13,'Class Log'!$I$7:$I$352,"Yes",'Class Log'!$J$7:$J$352,"Attended")/(COUNTIFS('Class Log'!$C$7:$C$352,M13,'Class Log'!$I$7:$I$352,"Yes",'Class Log'!$J$7:$J$352,"Attended")+COUNTIFS('Class Log'!$C$7:$C$352,M13,'Class Log'!$I$7:$I$352,"Yes",'Class Log'!$J$7:$J$352,"Missed")))</x:f>
      </x:c>
      <x:c r="O13" s="465"/>
      <x:c r="P13" s="465"/>
      <x:c r="Q13" s="465"/>
    </x:row>
    <x:row r="14">
      <x:c r="A14" s="501" t="str">
        <x:v>BECM 3205</x:v>
      </x:c>
      <x:c r="B14" s="465" t="n">
        <x:v>3</x:v>
      </x:c>
      <x:c r="C14" s="465" t="n">
        <x:f>COUNTIFS('Class Log'!$D$7:$D$352,$A14,'Class Log'!$E$7:$E$352,"Regular",'Class Log'!$I$7:$I$352,"Yes")</x:f>
        <x:v>39</x:v>
      </x:c>
      <x:c r="D14" s="465" t="n">
        <x:f>COUNTIFS('Class Log'!$D$7:$D$352,$A14,'Class Log'!$E$7:$E$352,"Regular",'Class Log'!$I$7:$I$352,"Yes",'Class Log'!$J$7:$J$352,"Attended")+COUNTIFS('Class Log'!$D$7:$D$352,$A14,'Class Log'!$E$7:$E$352,"Regular",'Class Log'!$I$7:$I$352,"Yes",'Class Log'!$J$7:$J$352,"Missed")</x:f>
        <x:v>0</x:v>
      </x:c>
      <x:c r="E14" s="465" t="n">
        <x:f>COUNTIFS('Class Log'!$D$7:$D$352,$A14,'Class Log'!$E$7:$E$352,"Extra",'Class Log'!$J$7:$J$352,"Attended")+COUNTIFS('Class Log'!$D$7:$D$352,$A14,'Class Log'!$E$7:$E$352,"Extra",'Class Log'!$J$7:$J$352,"Missed")</x:f>
        <x:v>0</x:v>
      </x:c>
      <x:c r="F14" s="465" t="n">
        <x:f>COUNTIFS('Class Log'!$D$7:$D$352,$A14,'Class Log'!$I$7:$I$352,"Yes",'Class Log'!$J$7:$J$352,"Attended")</x:f>
        <x:v>0</x:v>
      </x:c>
      <x:c r="G14" s="465" t="n">
        <x:f>COUNTIFS('Class Log'!$D$7:$D$352,$A14,'Class Log'!$I$7:$I$352,"Yes",'Class Log'!$J$7:$J$352,"Missed")</x:f>
        <x:v>0</x:v>
      </x:c>
      <x:c r="H14" s="465" t="n">
        <x:f>COUNTIFS('Class Log'!$D$7:$D$352,$A14,'Class Log'!$I$7:$I$352,"Yes",'Class Log'!$J$7:$J$352,"Cancelled")</x:f>
        <x:v>0</x:v>
      </x:c>
      <x:c r="I14" s="503" t="str">
        <x:f>IF((D14+E14)=0,"",F14/(D14+E14))</x:f>
      </x:c>
      <x:c r="J14" s="465" t="str">
        <x:f>IF((D14+E14)=0,"",MAX(0,INT(F14/60%-(D14+E14))))</x:f>
      </x:c>
      <x:c r="K14" s="504" t="str">
        <x:f>IF((D14+E14)=0,"No data",IF(I14&gt;=60%,"Eligible","Below 60%"))</x:f>
        <x:v>No data</x:v>
      </x:c>
      <x:c r="L14" s="465"/>
      <x:c r="M14" s="501" t="n">
        <x:v>2</x:v>
      </x:c>
      <x:c r="N14" s="502" t="str">
        <x:f>IF((COUNTIFS('Class Log'!$C$7:$C$352,M14,'Class Log'!$I$7:$I$352,"Yes",'Class Log'!$J$7:$J$352,"Attended")+COUNTIFS('Class Log'!$C$7:$C$352,M14,'Class Log'!$I$7:$I$352,"Yes",'Class Log'!$J$7:$J$352,"Missed"))=0,"",COUNTIFS('Class Log'!$C$7:$C$352,M14,'Class Log'!$I$7:$I$352,"Yes",'Class Log'!$J$7:$J$352,"Attended")/(COUNTIFS('Class Log'!$C$7:$C$352,M14,'Class Log'!$I$7:$I$352,"Yes",'Class Log'!$J$7:$J$352,"Attended")+COUNTIFS('Class Log'!$C$7:$C$352,M14,'Class Log'!$I$7:$I$352,"Yes",'Class Log'!$J$7:$J$352,"Missed")))</x:f>
      </x:c>
      <x:c r="O14" s="465"/>
      <x:c r="P14" s="465"/>
      <x:c r="Q14" s="465"/>
    </x:row>
    <x:row r="15">
      <x:c r="A15" s="501" t="str">
        <x:v>CE 3211</x:v>
      </x:c>
      <x:c r="B15" s="465" t="n">
        <x:v>3</x:v>
      </x:c>
      <x:c r="C15" s="465" t="n">
        <x:f>COUNTIFS('Class Log'!$D$7:$D$352,$A15,'Class Log'!$E$7:$E$352,"Regular",'Class Log'!$I$7:$I$352,"Yes")</x:f>
        <x:v>39</x:v>
      </x:c>
      <x:c r="D15" s="465" t="n">
        <x:f>COUNTIFS('Class Log'!$D$7:$D$352,$A15,'Class Log'!$E$7:$E$352,"Regular",'Class Log'!$I$7:$I$352,"Yes",'Class Log'!$J$7:$J$352,"Attended")+COUNTIFS('Class Log'!$D$7:$D$352,$A15,'Class Log'!$E$7:$E$352,"Regular",'Class Log'!$I$7:$I$352,"Yes",'Class Log'!$J$7:$J$352,"Missed")</x:f>
        <x:v>0</x:v>
      </x:c>
      <x:c r="E15" s="465" t="n">
        <x:f>COUNTIFS('Class Log'!$D$7:$D$352,$A15,'Class Log'!$E$7:$E$352,"Extra",'Class Log'!$J$7:$J$352,"Attended")+COUNTIFS('Class Log'!$D$7:$D$352,$A15,'Class Log'!$E$7:$E$352,"Extra",'Class Log'!$J$7:$J$352,"Missed")</x:f>
        <x:v>0</x:v>
      </x:c>
      <x:c r="F15" s="465" t="n">
        <x:f>COUNTIFS('Class Log'!$D$7:$D$352,$A15,'Class Log'!$I$7:$I$352,"Yes",'Class Log'!$J$7:$J$352,"Attended")</x:f>
        <x:v>0</x:v>
      </x:c>
      <x:c r="G15" s="465" t="n">
        <x:f>COUNTIFS('Class Log'!$D$7:$D$352,$A15,'Class Log'!$I$7:$I$352,"Yes",'Class Log'!$J$7:$J$352,"Missed")</x:f>
        <x:v>0</x:v>
      </x:c>
      <x:c r="H15" s="465" t="n">
        <x:f>COUNTIFS('Class Log'!$D$7:$D$352,$A15,'Class Log'!$I$7:$I$352,"Yes",'Class Log'!$J$7:$J$352,"Cancelled")</x:f>
        <x:v>0</x:v>
      </x:c>
      <x:c r="I15" s="503" t="str">
        <x:f>IF((D15+E15)=0,"",F15/(D15+E15))</x:f>
      </x:c>
      <x:c r="J15" s="465" t="str">
        <x:f>IF((D15+E15)=0,"",MAX(0,INT(F15/60%-(D15+E15))))</x:f>
      </x:c>
      <x:c r="K15" s="504" t="str">
        <x:f>IF((D15+E15)=0,"No data",IF(I15&gt;=60%,"Eligible","Below 60%"))</x:f>
        <x:v>No data</x:v>
      </x:c>
      <x:c r="L15" s="465"/>
      <x:c r="M15" s="501" t="n">
        <x:v>3</x:v>
      </x:c>
      <x:c r="N15" s="502" t="str">
        <x:f>IF((COUNTIFS('Class Log'!$C$7:$C$352,M15,'Class Log'!$I$7:$I$352,"Yes",'Class Log'!$J$7:$J$352,"Attended")+COUNTIFS('Class Log'!$C$7:$C$352,M15,'Class Log'!$I$7:$I$352,"Yes",'Class Log'!$J$7:$J$352,"Missed"))=0,"",COUNTIFS('Class Log'!$C$7:$C$352,M15,'Class Log'!$I$7:$I$352,"Yes",'Class Log'!$J$7:$J$352,"Attended")/(COUNTIFS('Class Log'!$C$7:$C$352,M15,'Class Log'!$I$7:$I$352,"Yes",'Class Log'!$J$7:$J$352,"Attended")+COUNTIFS('Class Log'!$C$7:$C$352,M15,'Class Log'!$I$7:$I$352,"Yes",'Class Log'!$J$7:$J$352,"Missed")))</x:f>
      </x:c>
      <x:c r="O15" s="465"/>
      <x:c r="P15" s="465"/>
      <x:c r="Q15" s="465"/>
    </x:row>
    <x:row r="16">
      <x:c r="A16" s="501" t="str">
        <x:v>CE 3213</x:v>
      </x:c>
      <x:c r="B16" s="465" t="n">
        <x:v>3</x:v>
      </x:c>
      <x:c r="C16" s="465" t="n">
        <x:f>COUNTIFS('Class Log'!$D$7:$D$352,$A16,'Class Log'!$E$7:$E$352,"Regular",'Class Log'!$I$7:$I$352,"Yes")</x:f>
        <x:v>39</x:v>
      </x:c>
      <x:c r="D16" s="465" t="n">
        <x:f>COUNTIFS('Class Log'!$D$7:$D$352,$A16,'Class Log'!$E$7:$E$352,"Regular",'Class Log'!$I$7:$I$352,"Yes",'Class Log'!$J$7:$J$352,"Attended")+COUNTIFS('Class Log'!$D$7:$D$352,$A16,'Class Log'!$E$7:$E$352,"Regular",'Class Log'!$I$7:$I$352,"Yes",'Class Log'!$J$7:$J$352,"Missed")</x:f>
        <x:v>0</x:v>
      </x:c>
      <x:c r="E16" s="465" t="n">
        <x:f>COUNTIFS('Class Log'!$D$7:$D$352,$A16,'Class Log'!$E$7:$E$352,"Extra",'Class Log'!$J$7:$J$352,"Attended")+COUNTIFS('Class Log'!$D$7:$D$352,$A16,'Class Log'!$E$7:$E$352,"Extra",'Class Log'!$J$7:$J$352,"Missed")</x:f>
        <x:v>0</x:v>
      </x:c>
      <x:c r="F16" s="465" t="n">
        <x:f>COUNTIFS('Class Log'!$D$7:$D$352,$A16,'Class Log'!$I$7:$I$352,"Yes",'Class Log'!$J$7:$J$352,"Attended")</x:f>
        <x:v>0</x:v>
      </x:c>
      <x:c r="G16" s="465" t="n">
        <x:f>COUNTIFS('Class Log'!$D$7:$D$352,$A16,'Class Log'!$I$7:$I$352,"Yes",'Class Log'!$J$7:$J$352,"Missed")</x:f>
        <x:v>0</x:v>
      </x:c>
      <x:c r="H16" s="465" t="n">
        <x:f>COUNTIFS('Class Log'!$D$7:$D$352,$A16,'Class Log'!$I$7:$I$352,"Yes",'Class Log'!$J$7:$J$352,"Cancelled")</x:f>
        <x:v>0</x:v>
      </x:c>
      <x:c r="I16" s="503" t="str">
        <x:f>IF((D16+E16)=0,"",F16/(D16+E16))</x:f>
      </x:c>
      <x:c r="J16" s="465" t="str">
        <x:f>IF((D16+E16)=0,"",MAX(0,INT(F16/60%-(D16+E16))))</x:f>
      </x:c>
      <x:c r="K16" s="504" t="str">
        <x:f>IF((D16+E16)=0,"No data",IF(I16&gt;=60%,"Eligible","Below 60%"))</x:f>
        <x:v>No data</x:v>
      </x:c>
      <x:c r="L16" s="465"/>
      <x:c r="M16" s="501" t="n">
        <x:v>4</x:v>
      </x:c>
      <x:c r="N16" s="502" t="str">
        <x:f>IF((COUNTIFS('Class Log'!$C$7:$C$352,M16,'Class Log'!$I$7:$I$352,"Yes",'Class Log'!$J$7:$J$352,"Attended")+COUNTIFS('Class Log'!$C$7:$C$352,M16,'Class Log'!$I$7:$I$352,"Yes",'Class Log'!$J$7:$J$352,"Missed"))=0,"",COUNTIFS('Class Log'!$C$7:$C$352,M16,'Class Log'!$I$7:$I$352,"Yes",'Class Log'!$J$7:$J$352,"Attended")/(COUNTIFS('Class Log'!$C$7:$C$352,M16,'Class Log'!$I$7:$I$352,"Yes",'Class Log'!$J$7:$J$352,"Attended")+COUNTIFS('Class Log'!$C$7:$C$352,M16,'Class Log'!$I$7:$I$352,"Yes",'Class Log'!$J$7:$J$352,"Missed")))</x:f>
      </x:c>
      <x:c r="O16" s="465"/>
      <x:c r="P16" s="465"/>
      <x:c r="Q16" s="465"/>
    </x:row>
    <x:row r="17">
      <x:c r="A17" s="501" t="str">
        <x:v>CE 3223</x:v>
      </x:c>
      <x:c r="B17" s="465" t="n">
        <x:v>3</x:v>
      </x:c>
      <x:c r="C17" s="465" t="n">
        <x:f>COUNTIFS('Class Log'!$D$7:$D$352,$A17,'Class Log'!$E$7:$E$352,"Regular",'Class Log'!$I$7:$I$352,"Yes")</x:f>
        <x:v>39</x:v>
      </x:c>
      <x:c r="D17" s="465" t="n">
        <x:f>COUNTIFS('Class Log'!$D$7:$D$352,$A17,'Class Log'!$E$7:$E$352,"Regular",'Class Log'!$I$7:$I$352,"Yes",'Class Log'!$J$7:$J$352,"Attended")+COUNTIFS('Class Log'!$D$7:$D$352,$A17,'Class Log'!$E$7:$E$352,"Regular",'Class Log'!$I$7:$I$352,"Yes",'Class Log'!$J$7:$J$352,"Missed")</x:f>
        <x:v>0</x:v>
      </x:c>
      <x:c r="E17" s="465" t="n">
        <x:f>COUNTIFS('Class Log'!$D$7:$D$352,$A17,'Class Log'!$E$7:$E$352,"Extra",'Class Log'!$J$7:$J$352,"Attended")+COUNTIFS('Class Log'!$D$7:$D$352,$A17,'Class Log'!$E$7:$E$352,"Extra",'Class Log'!$J$7:$J$352,"Missed")</x:f>
        <x:v>0</x:v>
      </x:c>
      <x:c r="F17" s="465" t="n">
        <x:f>COUNTIFS('Class Log'!$D$7:$D$352,$A17,'Class Log'!$I$7:$I$352,"Yes",'Class Log'!$J$7:$J$352,"Attended")</x:f>
        <x:v>0</x:v>
      </x:c>
      <x:c r="G17" s="465" t="n">
        <x:f>COUNTIFS('Class Log'!$D$7:$D$352,$A17,'Class Log'!$I$7:$I$352,"Yes",'Class Log'!$J$7:$J$352,"Missed")</x:f>
        <x:v>0</x:v>
      </x:c>
      <x:c r="H17" s="465" t="n">
        <x:f>COUNTIFS('Class Log'!$D$7:$D$352,$A17,'Class Log'!$I$7:$I$352,"Yes",'Class Log'!$J$7:$J$352,"Cancelled")</x:f>
        <x:v>0</x:v>
      </x:c>
      <x:c r="I17" s="503" t="str">
        <x:f>IF((D17+E17)=0,"",F17/(D17+E17))</x:f>
      </x:c>
      <x:c r="J17" s="465" t="str">
        <x:f>IF((D17+E17)=0,"",MAX(0,INT(F17/60%-(D17+E17))))</x:f>
      </x:c>
      <x:c r="K17" s="504" t="str">
        <x:f>IF((D17+E17)=0,"No data",IF(I17&gt;=60%,"Eligible","Below 60%"))</x:f>
        <x:v>No data</x:v>
      </x:c>
      <x:c r="L17" s="465"/>
      <x:c r="M17" s="501" t="n">
        <x:v>5</x:v>
      </x:c>
      <x:c r="N17" s="502" t="str">
        <x:f>IF((COUNTIFS('Class Log'!$C$7:$C$352,M17,'Class Log'!$I$7:$I$352,"Yes",'Class Log'!$J$7:$J$352,"Attended")+COUNTIFS('Class Log'!$C$7:$C$352,M17,'Class Log'!$I$7:$I$352,"Yes",'Class Log'!$J$7:$J$352,"Missed"))=0,"",COUNTIFS('Class Log'!$C$7:$C$352,M17,'Class Log'!$I$7:$I$352,"Yes",'Class Log'!$J$7:$J$352,"Attended")/(COUNTIFS('Class Log'!$C$7:$C$352,M17,'Class Log'!$I$7:$I$352,"Yes",'Class Log'!$J$7:$J$352,"Attended")+COUNTIFS('Class Log'!$C$7:$C$352,M17,'Class Log'!$I$7:$I$352,"Yes",'Class Log'!$J$7:$J$352,"Missed")))</x:f>
      </x:c>
      <x:c r="O17" s="465"/>
      <x:c r="P17" s="465"/>
      <x:c r="Q17" s="465"/>
    </x:row>
    <x:row r="18">
      <x:c r="A18" s="501" t="str">
        <x:v>BECM 3200</x:v>
      </x:c>
      <x:c r="B18" s="465" t="n">
        <x:v>0.75</x:v>
      </x:c>
      <x:c r="C18" s="465" t="n">
        <x:f>COUNTIFS('Class Log'!$D$7:$D$352,$A18,'Class Log'!$E$7:$E$352,"Regular",'Class Log'!$I$7:$I$352,"Yes")</x:f>
        <x:v>7</x:v>
      </x:c>
      <x:c r="D18" s="465" t="n">
        <x:f>COUNTIFS('Class Log'!$D$7:$D$352,$A18,'Class Log'!$E$7:$E$352,"Regular",'Class Log'!$I$7:$I$352,"Yes",'Class Log'!$J$7:$J$352,"Attended")+COUNTIFS('Class Log'!$D$7:$D$352,$A18,'Class Log'!$E$7:$E$352,"Regular",'Class Log'!$I$7:$I$352,"Yes",'Class Log'!$J$7:$J$352,"Missed")</x:f>
        <x:v>0</x:v>
      </x:c>
      <x:c r="E18" s="465" t="n">
        <x:f>COUNTIFS('Class Log'!$D$7:$D$352,$A18,'Class Log'!$E$7:$E$352,"Extra",'Class Log'!$J$7:$J$352,"Attended")+COUNTIFS('Class Log'!$D$7:$D$352,$A18,'Class Log'!$E$7:$E$352,"Extra",'Class Log'!$J$7:$J$352,"Missed")</x:f>
        <x:v>0</x:v>
      </x:c>
      <x:c r="F18" s="465" t="n">
        <x:f>COUNTIFS('Class Log'!$D$7:$D$352,$A18,'Class Log'!$I$7:$I$352,"Yes",'Class Log'!$J$7:$J$352,"Attended")</x:f>
        <x:v>0</x:v>
      </x:c>
      <x:c r="G18" s="465" t="n">
        <x:f>COUNTIFS('Class Log'!$D$7:$D$352,$A18,'Class Log'!$I$7:$I$352,"Yes",'Class Log'!$J$7:$J$352,"Missed")</x:f>
        <x:v>0</x:v>
      </x:c>
      <x:c r="H18" s="465" t="n">
        <x:f>COUNTIFS('Class Log'!$D$7:$D$352,$A18,'Class Log'!$I$7:$I$352,"Yes",'Class Log'!$J$7:$J$352,"Cancelled")</x:f>
        <x:v>0</x:v>
      </x:c>
      <x:c r="I18" s="503" t="str">
        <x:f>IF((D18+E18)=0,"",F18/(D18+E18))</x:f>
      </x:c>
      <x:c r="J18" s="465" t="str">
        <x:f>IF((D18+E18)=0,"",MAX(0,INT(F18/60%-(D18+E18))))</x:f>
      </x:c>
      <x:c r="K18" s="504" t="str">
        <x:f>IF((D18+E18)=0,"No data",IF(I18&gt;=60%,"Eligible","Below 60%"))</x:f>
        <x:v>No data</x:v>
      </x:c>
      <x:c r="L18" s="465"/>
      <x:c r="M18" s="501" t="n">
        <x:v>6</x:v>
      </x:c>
      <x:c r="N18" s="502" t="str">
        <x:f>IF((COUNTIFS('Class Log'!$C$7:$C$352,M18,'Class Log'!$I$7:$I$352,"Yes",'Class Log'!$J$7:$J$352,"Attended")+COUNTIFS('Class Log'!$C$7:$C$352,M18,'Class Log'!$I$7:$I$352,"Yes",'Class Log'!$J$7:$J$352,"Missed"))=0,"",COUNTIFS('Class Log'!$C$7:$C$352,M18,'Class Log'!$I$7:$I$352,"Yes",'Class Log'!$J$7:$J$352,"Attended")/(COUNTIFS('Class Log'!$C$7:$C$352,M18,'Class Log'!$I$7:$I$352,"Yes",'Class Log'!$J$7:$J$352,"Attended")+COUNTIFS('Class Log'!$C$7:$C$352,M18,'Class Log'!$I$7:$I$352,"Yes",'Class Log'!$J$7:$J$352,"Missed")))</x:f>
      </x:c>
      <x:c r="O18" s="465"/>
      <x:c r="P18" s="465"/>
      <x:c r="Q18" s="465"/>
    </x:row>
    <x:row r="19">
      <x:c r="A19" s="501" t="str">
        <x:v>BECM 3204</x:v>
      </x:c>
      <x:c r="B19" s="465" t="n">
        <x:v>1.5</x:v>
      </x:c>
      <x:c r="C19" s="465" t="n">
        <x:f>COUNTIFS('Class Log'!$D$7:$D$352,$A19,'Class Log'!$E$7:$E$352,"Regular",'Class Log'!$I$7:$I$352,"Yes")</x:f>
        <x:v>13</x:v>
      </x:c>
      <x:c r="D19" s="465" t="n">
        <x:f>COUNTIFS('Class Log'!$D$7:$D$352,$A19,'Class Log'!$E$7:$E$352,"Regular",'Class Log'!$I$7:$I$352,"Yes",'Class Log'!$J$7:$J$352,"Attended")+COUNTIFS('Class Log'!$D$7:$D$352,$A19,'Class Log'!$E$7:$E$352,"Regular",'Class Log'!$I$7:$I$352,"Yes",'Class Log'!$J$7:$J$352,"Missed")</x:f>
        <x:v>0</x:v>
      </x:c>
      <x:c r="E19" s="465" t="n">
        <x:f>COUNTIFS('Class Log'!$D$7:$D$352,$A19,'Class Log'!$E$7:$E$352,"Extra",'Class Log'!$J$7:$J$352,"Attended")+COUNTIFS('Class Log'!$D$7:$D$352,$A19,'Class Log'!$E$7:$E$352,"Extra",'Class Log'!$J$7:$J$352,"Missed")</x:f>
        <x:v>0</x:v>
      </x:c>
      <x:c r="F19" s="465" t="n">
        <x:f>COUNTIFS('Class Log'!$D$7:$D$352,$A19,'Class Log'!$I$7:$I$352,"Yes",'Class Log'!$J$7:$J$352,"Attended")</x:f>
        <x:v>0</x:v>
      </x:c>
      <x:c r="G19" s="465" t="n">
        <x:f>COUNTIFS('Class Log'!$D$7:$D$352,$A19,'Class Log'!$I$7:$I$352,"Yes",'Class Log'!$J$7:$J$352,"Missed")</x:f>
        <x:v>0</x:v>
      </x:c>
      <x:c r="H19" s="465" t="n">
        <x:f>COUNTIFS('Class Log'!$D$7:$D$352,$A19,'Class Log'!$I$7:$I$352,"Yes",'Class Log'!$J$7:$J$352,"Cancelled")</x:f>
        <x:v>0</x:v>
      </x:c>
      <x:c r="I19" s="503" t="str">
        <x:f>IF((D19+E19)=0,"",F19/(D19+E19))</x:f>
      </x:c>
      <x:c r="J19" s="465" t="str">
        <x:f>IF((D19+E19)=0,"",MAX(0,INT(F19/60%-(D19+E19))))</x:f>
      </x:c>
      <x:c r="K19" s="504" t="str">
        <x:f>IF((D19+E19)=0,"No data",IF(I19&gt;=60%,"Eligible","Below 60%"))</x:f>
        <x:v>No data</x:v>
      </x:c>
      <x:c r="L19" s="465"/>
      <x:c r="M19" s="501" t="n">
        <x:v>7</x:v>
      </x:c>
      <x:c r="N19" s="502" t="str">
        <x:f>IF((COUNTIFS('Class Log'!$C$7:$C$352,M19,'Class Log'!$I$7:$I$352,"Yes",'Class Log'!$J$7:$J$352,"Attended")+COUNTIFS('Class Log'!$C$7:$C$352,M19,'Class Log'!$I$7:$I$352,"Yes",'Class Log'!$J$7:$J$352,"Missed"))=0,"",COUNTIFS('Class Log'!$C$7:$C$352,M19,'Class Log'!$I$7:$I$352,"Yes",'Class Log'!$J$7:$J$352,"Attended")/(COUNTIFS('Class Log'!$C$7:$C$352,M19,'Class Log'!$I$7:$I$352,"Yes",'Class Log'!$J$7:$J$352,"Attended")+COUNTIFS('Class Log'!$C$7:$C$352,M19,'Class Log'!$I$7:$I$352,"Yes",'Class Log'!$J$7:$J$352,"Missed")))</x:f>
      </x:c>
      <x:c r="O19" s="465"/>
      <x:c r="P19" s="465"/>
      <x:c r="Q19" s="465"/>
    </x:row>
    <x:row r="20">
      <x:c r="A20" s="501" t="str">
        <x:v>BECM 3208</x:v>
      </x:c>
      <x:c r="B20" s="465" t="n">
        <x:v>1.5</x:v>
      </x:c>
      <x:c r="C20" s="465" t="n">
        <x:f>COUNTIFS('Class Log'!$D$7:$D$352,$A20,'Class Log'!$E$7:$E$352,"Regular",'Class Log'!$I$7:$I$352,"Yes")</x:f>
        <x:v>13</x:v>
      </x:c>
      <x:c r="D20" s="465" t="n">
        <x:f>COUNTIFS('Class Log'!$D$7:$D$352,$A20,'Class Log'!$E$7:$E$352,"Regular",'Class Log'!$I$7:$I$352,"Yes",'Class Log'!$J$7:$J$352,"Attended")+COUNTIFS('Class Log'!$D$7:$D$352,$A20,'Class Log'!$E$7:$E$352,"Regular",'Class Log'!$I$7:$I$352,"Yes",'Class Log'!$J$7:$J$352,"Missed")</x:f>
        <x:v>0</x:v>
      </x:c>
      <x:c r="E20" s="465" t="n">
        <x:f>COUNTIFS('Class Log'!$D$7:$D$352,$A20,'Class Log'!$E$7:$E$352,"Extra",'Class Log'!$J$7:$J$352,"Attended")+COUNTIFS('Class Log'!$D$7:$D$352,$A20,'Class Log'!$E$7:$E$352,"Extra",'Class Log'!$J$7:$J$352,"Missed")</x:f>
        <x:v>0</x:v>
      </x:c>
      <x:c r="F20" s="465" t="n">
        <x:f>COUNTIFS('Class Log'!$D$7:$D$352,$A20,'Class Log'!$I$7:$I$352,"Yes",'Class Log'!$J$7:$J$352,"Attended")</x:f>
        <x:v>0</x:v>
      </x:c>
      <x:c r="G20" s="465" t="n">
        <x:f>COUNTIFS('Class Log'!$D$7:$D$352,$A20,'Class Log'!$I$7:$I$352,"Yes",'Class Log'!$J$7:$J$352,"Missed")</x:f>
        <x:v>0</x:v>
      </x:c>
      <x:c r="H20" s="465" t="n">
        <x:f>COUNTIFS('Class Log'!$D$7:$D$352,$A20,'Class Log'!$I$7:$I$352,"Yes",'Class Log'!$J$7:$J$352,"Cancelled")</x:f>
        <x:v>0</x:v>
      </x:c>
      <x:c r="I20" s="503" t="str">
        <x:f>IF((D20+E20)=0,"",F20/(D20+E20))</x:f>
      </x:c>
      <x:c r="J20" s="465" t="str">
        <x:f>IF((D20+E20)=0,"",MAX(0,INT(F20/60%-(D20+E20))))</x:f>
      </x:c>
      <x:c r="K20" s="504" t="str">
        <x:f>IF((D20+E20)=0,"No data",IF(I20&gt;=60%,"Eligible","Below 60%"))</x:f>
        <x:v>No data</x:v>
      </x:c>
      <x:c r="L20" s="465"/>
      <x:c r="M20" s="501" t="n">
        <x:v>8</x:v>
      </x:c>
      <x:c r="N20" s="502" t="str">
        <x:f>IF((COUNTIFS('Class Log'!$C$7:$C$352,M20,'Class Log'!$I$7:$I$352,"Yes",'Class Log'!$J$7:$J$352,"Attended")+COUNTIFS('Class Log'!$C$7:$C$352,M20,'Class Log'!$I$7:$I$352,"Yes",'Class Log'!$J$7:$J$352,"Missed"))=0,"",COUNTIFS('Class Log'!$C$7:$C$352,M20,'Class Log'!$I$7:$I$352,"Yes",'Class Log'!$J$7:$J$352,"Attended")/(COUNTIFS('Class Log'!$C$7:$C$352,M20,'Class Log'!$I$7:$I$352,"Yes",'Class Log'!$J$7:$J$352,"Attended")+COUNTIFS('Class Log'!$C$7:$C$352,M20,'Class Log'!$I$7:$I$352,"Yes",'Class Log'!$J$7:$J$352,"Missed")))</x:f>
      </x:c>
      <x:c r="O20" s="465"/>
      <x:c r="P20" s="465"/>
      <x:c r="Q20" s="465"/>
    </x:row>
    <x:row r="21">
      <x:c r="A21" s="505" t="str">
        <x:v>CE 3224</x:v>
      </x:c>
      <x:c r="B21" s="506" t="n">
        <x:v>1.5</x:v>
      </x:c>
      <x:c r="C21" s="506" t="n">
        <x:f>COUNTIFS('Class Log'!$D$7:$D$352,$A21,'Class Log'!$E$7:$E$352,"Regular",'Class Log'!$I$7:$I$352,"Yes")</x:f>
        <x:v>13</x:v>
      </x:c>
      <x:c r="D21" s="506" t="n">
        <x:f>COUNTIFS('Class Log'!$D$7:$D$352,$A21,'Class Log'!$E$7:$E$352,"Regular",'Class Log'!$I$7:$I$352,"Yes",'Class Log'!$J$7:$J$352,"Attended")+COUNTIFS('Class Log'!$D$7:$D$352,$A21,'Class Log'!$E$7:$E$352,"Regular",'Class Log'!$I$7:$I$352,"Yes",'Class Log'!$J$7:$J$352,"Missed")</x:f>
        <x:v>0</x:v>
      </x:c>
      <x:c r="E21" s="506" t="n">
        <x:f>COUNTIFS('Class Log'!$D$7:$D$352,$A21,'Class Log'!$E$7:$E$352,"Extra",'Class Log'!$J$7:$J$352,"Attended")+COUNTIFS('Class Log'!$D$7:$D$352,$A21,'Class Log'!$E$7:$E$352,"Extra",'Class Log'!$J$7:$J$352,"Missed")</x:f>
        <x:v>0</x:v>
      </x:c>
      <x:c r="F21" s="506" t="n">
        <x:f>COUNTIFS('Class Log'!$D$7:$D$352,$A21,'Class Log'!$I$7:$I$352,"Yes",'Class Log'!$J$7:$J$352,"Attended")</x:f>
        <x:v>0</x:v>
      </x:c>
      <x:c r="G21" s="506" t="n">
        <x:f>COUNTIFS('Class Log'!$D$7:$D$352,$A21,'Class Log'!$I$7:$I$352,"Yes",'Class Log'!$J$7:$J$352,"Missed")</x:f>
        <x:v>0</x:v>
      </x:c>
      <x:c r="H21" s="506" t="n">
        <x:f>COUNTIFS('Class Log'!$D$7:$D$352,$A21,'Class Log'!$I$7:$I$352,"Yes",'Class Log'!$J$7:$J$352,"Cancelled")</x:f>
        <x:v>0</x:v>
      </x:c>
      <x:c r="I21" s="507" t="str">
        <x:f>IF((D21+E21)=0,"",F21/(D21+E21))</x:f>
      </x:c>
      <x:c r="J21" s="506" t="str">
        <x:f>IF((D21+E21)=0,"",MAX(0,INT(F21/60%-(D21+E21))))</x:f>
      </x:c>
      <x:c r="K21" s="508" t="str">
        <x:f>IF((D21+E21)=0,"No data",IF(I21&gt;=60%,"Eligible","Below 60%"))</x:f>
        <x:v>No data</x:v>
      </x:c>
      <x:c r="L21" s="465"/>
      <x:c r="M21" s="501" t="n">
        <x:v>9</x:v>
      </x:c>
      <x:c r="N21" s="502" t="str">
        <x:f>IF((COUNTIFS('Class Log'!$C$7:$C$352,M21,'Class Log'!$I$7:$I$352,"Yes",'Class Log'!$J$7:$J$352,"Attended")+COUNTIFS('Class Log'!$C$7:$C$352,M21,'Class Log'!$I$7:$I$352,"Yes",'Class Log'!$J$7:$J$352,"Missed"))=0,"",COUNTIFS('Class Log'!$C$7:$C$352,M21,'Class Log'!$I$7:$I$352,"Yes",'Class Log'!$J$7:$J$352,"Attended")/(COUNTIFS('Class Log'!$C$7:$C$352,M21,'Class Log'!$I$7:$I$352,"Yes",'Class Log'!$J$7:$J$352,"Attended")+COUNTIFS('Class Log'!$C$7:$C$352,M21,'Class Log'!$I$7:$I$352,"Yes",'Class Log'!$J$7:$J$352,"Missed")))</x:f>
      </x:c>
      <x:c r="O21" s="465"/>
      <x:c r="P21" s="465"/>
      <x:c r="Q21" s="465"/>
    </x:row>
    <x:row r="22">
      <x:c r="A22" s="465"/>
      <x:c r="B22" s="465"/>
      <x:c r="C22" s="465"/>
      <x:c r="D22" s="465"/>
      <x:c r="E22" s="465"/>
      <x:c r="F22" s="465"/>
      <x:c r="G22" s="465"/>
      <x:c r="H22" s="465"/>
      <x:c r="I22" s="465"/>
      <x:c r="J22" s="465"/>
      <x:c r="K22" s="465"/>
      <x:c r="L22" s="465"/>
      <x:c r="M22" s="501" t="n">
        <x:v>10</x:v>
      </x:c>
      <x:c r="N22" s="502" t="str">
        <x:f>IF((COUNTIFS('Class Log'!$C$7:$C$352,M22,'Class Log'!$I$7:$I$352,"Yes",'Class Log'!$J$7:$J$352,"Attended")+COUNTIFS('Class Log'!$C$7:$C$352,M22,'Class Log'!$I$7:$I$352,"Yes",'Class Log'!$J$7:$J$352,"Missed"))=0,"",COUNTIFS('Class Log'!$C$7:$C$352,M22,'Class Log'!$I$7:$I$352,"Yes",'Class Log'!$J$7:$J$352,"Attended")/(COUNTIFS('Class Log'!$C$7:$C$352,M22,'Class Log'!$I$7:$I$352,"Yes",'Class Log'!$J$7:$J$352,"Attended")+COUNTIFS('Class Log'!$C$7:$C$352,M22,'Class Log'!$I$7:$I$352,"Yes",'Class Log'!$J$7:$J$352,"Missed")))</x:f>
      </x:c>
      <x:c r="O22" s="465"/>
      <x:c r="P22" s="465"/>
      <x:c r="Q22" s="465"/>
    </x:row>
    <x:row r="23">
      <x:c r="A23" s="802"/>
      <x:c r="B23" s="803"/>
      <x:c r="C23" s="803"/>
      <x:c r="D23" s="803"/>
      <x:c r="E23" s="803"/>
      <x:c r="F23" s="803"/>
      <x:c r="G23" s="803"/>
      <x:c r="H23" s="803"/>
      <x:c r="I23" s="803"/>
      <x:c r="J23" s="803"/>
      <x:c r="K23" s="803"/>
      <x:c r="L23" s="803"/>
      <x:c r="M23" s="804" t="n">
        <x:v>11</x:v>
      </x:c>
      <x:c r="N23" s="805" t="str">
        <x:f>IF((COUNTIFS('Class Log'!$C$7:$C$352,M23,'Class Log'!$I$7:$I$352,"Yes",'Class Log'!$J$7:$J$352,"Attended")+COUNTIFS('Class Log'!$C$7:$C$352,M23,'Class Log'!$I$7:$I$352,"Yes",'Class Log'!$J$7:$J$352,"Missed"))=0,"",COUNTIFS('Class Log'!$C$7:$C$352,M23,'Class Log'!$I$7:$I$352,"Yes",'Class Log'!$J$7:$J$352,"Attended")/(COUNTIFS('Class Log'!$C$7:$C$352,M23,'Class Log'!$I$7:$I$352,"Yes",'Class Log'!$J$7:$J$352,"Attended")+COUNTIFS('Class Log'!$C$7:$C$352,M23,'Class Log'!$I$7:$I$352,"Yes",'Class Log'!$J$7:$J$352,"Missed")))</x:f>
      </x:c>
      <x:c r="O23" s="803"/>
      <x:c r="P23" s="803"/>
      <x:c r="Q23" s="806"/>
    </x:row>
    <x:row r="24">
      <x:c r="A24" s="807"/>
      <x:c r="B24" s="792"/>
      <x:c r="C24" s="792"/>
      <x:c r="D24" s="792"/>
      <x:c r="E24" s="792"/>
      <x:c r="F24" s="792"/>
      <x:c r="G24" s="792"/>
      <x:c r="H24" s="789"/>
      <x:c r="I24" s="792"/>
      <x:c r="J24" s="792"/>
      <x:c r="K24" s="792"/>
      <x:c r="L24" s="792"/>
      <x:c r="M24" s="793" t="n">
        <x:v>12</x:v>
      </x:c>
      <x:c r="N24" s="794" t="str">
        <x:f>IF((COUNTIFS('Class Log'!$C$7:$C$352,M24,'Class Log'!$I$7:$I$352,"Yes",'Class Log'!$J$7:$J$352,"Attended")+COUNTIFS('Class Log'!$C$7:$C$352,M24,'Class Log'!$I$7:$I$352,"Yes",'Class Log'!$J$7:$J$352,"Missed"))=0,"",COUNTIFS('Class Log'!$C$7:$C$352,M24,'Class Log'!$I$7:$I$352,"Yes",'Class Log'!$J$7:$J$352,"Attended")/(COUNTIFS('Class Log'!$C$7:$C$352,M24,'Class Log'!$I$7:$I$352,"Yes",'Class Log'!$J$7:$J$352,"Attended")+COUNTIFS('Class Log'!$C$7:$C$352,M24,'Class Log'!$I$7:$I$352,"Yes",'Class Log'!$J$7:$J$352,"Missed")))</x:f>
      </x:c>
      <x:c r="O24" s="792"/>
      <x:c r="P24" s="792"/>
      <x:c r="Q24" s="808"/>
    </x:row>
    <x:row r="25">
      <x:c r="A25" s="809"/>
      <x:c r="B25" s="795"/>
      <x:c r="C25" s="795"/>
      <x:c r="D25" s="795"/>
      <x:c r="E25" s="795"/>
      <x:c r="F25" s="795"/>
      <x:c r="G25" s="795"/>
      <x:c r="H25" s="789"/>
      <x:c r="I25" s="789"/>
      <x:c r="J25" s="789"/>
      <x:c r="K25" s="789"/>
      <x:c r="L25" s="789"/>
      <x:c r="M25" s="796" t="n">
        <x:v>13</x:v>
      </x:c>
      <x:c r="N25" s="797" t="str">
        <x:f>IF((COUNTIFS('Class Log'!$C$7:$C$352,M25,'Class Log'!$I$7:$I$352,"Yes",'Class Log'!$J$7:$J$352,"Attended")+COUNTIFS('Class Log'!$C$7:$C$352,M25,'Class Log'!$I$7:$I$352,"Yes",'Class Log'!$J$7:$J$352,"Missed"))=0,"",COUNTIFS('Class Log'!$C$7:$C$352,M25,'Class Log'!$I$7:$I$352,"Yes",'Class Log'!$J$7:$J$352,"Attended")/(COUNTIFS('Class Log'!$C$7:$C$352,M25,'Class Log'!$I$7:$I$352,"Yes",'Class Log'!$J$7:$J$352,"Attended")+COUNTIFS('Class Log'!$C$7:$C$352,M25,'Class Log'!$I$7:$I$352,"Yes",'Class Log'!$J$7:$J$352,"Missed")))</x:f>
      </x:c>
      <x:c r="O25" s="789"/>
      <x:c r="P25" s="789"/>
      <x:c r="Q25" s="810"/>
    </x:row>
    <x:row r="26" ht="24" customHeight="1">
      <x:c r="A26" s="811"/>
      <x:c r="B26" s="812"/>
      <x:c r="C26" s="812"/>
      <x:c r="D26" s="812"/>
      <x:c r="E26" s="812"/>
      <x:c r="F26" s="813"/>
      <x:c r="G26" s="814"/>
      <x:c r="H26" s="815"/>
      <x:c r="I26" s="816"/>
      <x:c r="J26" s="812"/>
      <x:c r="K26" s="812"/>
      <x:c r="L26" s="812"/>
      <x:c r="M26" s="812"/>
      <x:c r="N26" s="812"/>
      <x:c r="O26" s="812"/>
      <x:c r="P26" s="812"/>
      <x:c r="Q26" s="817"/>
    </x:row>
    <x:row r="27" ht="24" customHeight="1">
      <x:c r="A27" s="509" t="str">
        <x:v>TEACHER-WISE CT / SPOT TEST SUMMARY</x:v>
      </x:c>
      <x:c r="B27" s="466"/>
      <x:c r="C27" s="466"/>
      <x:c r="D27" s="466"/>
      <x:c r="E27" s="466"/>
      <x:c r="F27" s="663"/>
      <x:c r="G27" s="664"/>
      <x:c r="H27" s="465"/>
      <x:c r="I27" s="717" t="str">
        <x:v>QUICK USE</x:v>
      </x:c>
      <x:c r="J27" s="718"/>
      <x:c r="K27" s="718"/>
      <x:c r="L27" s="718"/>
      <x:c r="M27" s="426"/>
      <x:c r="N27" s="426"/>
      <x:c r="O27" s="426"/>
      <x:c r="P27" s="426"/>
      <x:c r="Q27" s="427"/>
    </x:row>
    <x:row r="28" ht="24" customHeight="1">
      <x:c r="A28" s="683" t="str">
        <x:v>Course</x:v>
      </x:c>
      <x:c r="B28" s="186" t="str">
        <x:v>Teacher</x:v>
      </x:c>
      <x:c r="C28" s="186" t="str">
        <x:v>Tests Logged</x:v>
      </x:c>
      <x:c r="D28" s="186" t="str">
        <x:v>Test Score</x:v>
      </x:c>
      <x:c r="E28" s="186" t="str">
        <x:v>Test Out Of</x:v>
      </x:c>
      <x:c r="F28" s="681" t="str">
        <x:v>Final CT /30</x:v>
      </x:c>
      <x:c r="G28" s="684" t="str">
        <x:v>CT Progress</x:v>
      </x:c>
      <x:c r="H28" s="465"/>
      <x:c r="I28" s="420"/>
      <x:c r="J28" s="421"/>
      <x:c r="K28" s="421"/>
      <x:c r="L28" s="421"/>
      <x:c r="M28" s="421"/>
      <x:c r="N28" s="421"/>
      <x:c r="O28" s="421"/>
      <x:c r="P28" s="421"/>
      <x:c r="Q28" s="422"/>
    </x:row>
    <x:row r="29" ht="23" customHeight="1">
      <x:c r="A29" s="798" t="str">
        <x:v>BECM 3201</x:v>
      </x:c>
      <x:c r="B29" s="799" t="str">
        <x:v>MR</x:v>
      </x:c>
      <x:c r="C29" s="799" t="n">
        <x:f>COUNTIFS('Class Log'!$D$7:$D$352,$A29,'Class Log'!$L$7:$L$352,$B29,'Class Log'!$K$7:$K$352,"&lt;&gt;None")</x:f>
        <x:v>0</x:v>
      </x:c>
      <x:c r="D29" s="799" t="n">
        <x:f>SUMIFS('Class Log'!$M$7:$M$352,'Class Log'!$D$7:$D$352,$A29,'Class Log'!$L$7:$L$352,$B29)</x:f>
        <x:v>0</x:v>
      </x:c>
      <x:c r="E29" s="799" t="n">
        <x:f>SUMIFS('Class Log'!$N$7:$N$352,'Class Log'!$D$7:$D$352,$A29,'Class Log'!$L$7:$L$352,$B29)</x:f>
        <x:v>0</x:v>
      </x:c>
      <x:c r="F29" s="896"/>
      <x:c r="G29" s="801" t="str">
        <x:f>IF(F29="","",F29/30)</x:f>
      </x:c>
      <x:c r="H29" s="465"/>
      <x:c r="I29" s="725" t="str">
        <x:v>1. Choose the three sessional slots + BECM 3200 cycle.</x:v>
      </x:c>
      <x:c r="J29" s="726"/>
      <x:c r="K29" s="726"/>
      <x:c r="L29" s="727"/>
      <x:c r="M29" s="426"/>
      <x:c r="N29" s="426"/>
      <x:c r="O29" s="426"/>
      <x:c r="P29" s="426"/>
      <x:c r="Q29" s="427"/>
    </x:row>
    <x:row r="30" ht="23" customHeight="1">
      <x:c r="A30" s="790" t="str">
        <x:v>BECM 3201</x:v>
      </x:c>
      <x:c r="B30" s="789" t="str">
        <x:v>MRA</x:v>
      </x:c>
      <x:c r="C30" s="789" t="n">
        <x:f>COUNTIFS('Class Log'!$D$7:$D$352,$A30,'Class Log'!$L$7:$L$352,$B30,'Class Log'!$K$7:$K$352,"&lt;&gt;None")</x:f>
        <x:v>0</x:v>
      </x:c>
      <x:c r="D30" s="789" t="n">
        <x:f>SUMIFS('Class Log'!$M$7:$M$352,'Class Log'!$D$7:$D$352,$A30,'Class Log'!$L$7:$L$352,$B30)</x:f>
        <x:v>0</x:v>
      </x:c>
      <x:c r="E30" s="789" t="n">
        <x:f>SUMIFS('Class Log'!$N$7:$N$352,'Class Log'!$D$7:$D$352,$A30,'Class Log'!$L$7:$L$352,$B30)</x:f>
        <x:v>0</x:v>
      </x:c>
      <x:c r="F30" s="897"/>
      <x:c r="G30" s="869" t="str">
        <x:f>IF(F30="","",F30/30)</x:f>
      </x:c>
      <x:c r="H30" s="465"/>
      <x:c r="I30" s="731" t="str">
        <x:v>2. After class: mark Attended / Missed / Cancelled.</x:v>
      </x:c>
      <x:c r="J30" s="732"/>
      <x:c r="K30" s="732"/>
      <x:c r="L30" s="733"/>
      <x:c r="M30" s="421"/>
      <x:c r="N30" s="421"/>
      <x:c r="O30" s="421"/>
      <x:c r="P30" s="421"/>
      <x:c r="Q30" s="422"/>
    </x:row>
    <x:row r="31" ht="23" customHeight="1">
      <x:c r="A31" s="790" t="str">
        <x:v>BECM 3205</x:v>
      </x:c>
      <x:c r="B31" s="789" t="str">
        <x:v>AAM</x:v>
      </x:c>
      <x:c r="C31" s="789" t="n">
        <x:f>COUNTIFS('Class Log'!$D$7:$D$352,$A31,'Class Log'!$L$7:$L$352,$B31,'Class Log'!$K$7:$K$352,"&lt;&gt;None")</x:f>
        <x:v>0</x:v>
      </x:c>
      <x:c r="D31" s="789" t="n">
        <x:f>SUMIFS('Class Log'!$M$7:$M$352,'Class Log'!$D$7:$D$352,$A31,'Class Log'!$L$7:$L$352,$B31)</x:f>
        <x:v>0</x:v>
      </x:c>
      <x:c r="E31" s="789" t="n">
        <x:f>SUMIFS('Class Log'!$N$7:$N$352,'Class Log'!$D$7:$D$352,$A31,'Class Log'!$L$7:$L$352,$B31)</x:f>
        <x:v>0</x:v>
      </x:c>
      <x:c r="F31" s="897"/>
      <x:c r="G31" s="869" t="str">
        <x:f>IF(F31="","",F31/30)</x:f>
      </x:c>
      <x:c r="H31" s="465"/>
      <x:c r="I31" s="725" t="str">
        <x:v>3. Spot test/CT? Fill type, teacher, score and out-of.</x:v>
      </x:c>
      <x:c r="J31" s="726"/>
      <x:c r="K31" s="726"/>
      <x:c r="L31" s="727"/>
      <x:c r="M31" s="426"/>
      <x:c r="N31" s="426"/>
      <x:c r="O31" s="426"/>
      <x:c r="P31" s="426"/>
      <x:c r="Q31" s="427"/>
    </x:row>
    <x:row r="32" ht="23" customHeight="1">
      <x:c r="A32" s="790" t="str">
        <x:v>BECM 3205</x:v>
      </x:c>
      <x:c r="B32" s="789" t="str">
        <x:v>MSH</x:v>
      </x:c>
      <x:c r="C32" s="789" t="n">
        <x:f>COUNTIFS('Class Log'!$D$7:$D$352,$A32,'Class Log'!$L$7:$L$352,$B32,'Class Log'!$K$7:$K$352,"&lt;&gt;None")</x:f>
        <x:v>0</x:v>
      </x:c>
      <x:c r="D32" s="789" t="n">
        <x:f>SUMIFS('Class Log'!$M$7:$M$352,'Class Log'!$D$7:$D$352,$A32,'Class Log'!$L$7:$L$352,$B32)</x:f>
        <x:v>0</x:v>
      </x:c>
      <x:c r="E32" s="789" t="n">
        <x:f>SUMIFS('Class Log'!$N$7:$N$352,'Class Log'!$D$7:$D$352,$A32,'Class Log'!$L$7:$L$352,$B32)</x:f>
        <x:v>0</x:v>
      </x:c>
      <x:c r="F32" s="897"/>
      <x:c r="G32" s="869" t="str">
        <x:f>IF(F32="","",F32/30)</x:f>
      </x:c>
      <x:c r="H32" s="465"/>
      <x:c r="I32" s="731" t="str">
        <x:v>4. Extra class? Use the Extra section in Class Log.</x:v>
      </x:c>
      <x:c r="J32" s="732"/>
      <x:c r="K32" s="732"/>
      <x:c r="L32" s="733"/>
      <x:c r="M32" s="465"/>
      <x:c r="N32" s="465"/>
      <x:c r="O32" s="465"/>
      <x:c r="P32" s="465"/>
      <x:c r="Q32" s="465"/>
    </x:row>
    <x:row r="33" ht="23" customHeight="1">
      <x:c r="A33" s="790" t="str">
        <x:v>CE 3211</x:v>
      </x:c>
      <x:c r="B33" s="789" t="str">
        <x:v>MKI</x:v>
      </x:c>
      <x:c r="C33" s="789" t="n">
        <x:f>COUNTIFS('Class Log'!$D$7:$D$352,$A33,'Class Log'!$L$7:$L$352,$B33,'Class Log'!$K$7:$K$352,"&lt;&gt;None")</x:f>
        <x:v>0</x:v>
      </x:c>
      <x:c r="D33" s="789" t="n">
        <x:f>SUMIFS('Class Log'!$M$7:$M$352,'Class Log'!$D$7:$D$352,$A33,'Class Log'!$L$7:$L$352,$B33)</x:f>
        <x:v>0</x:v>
      </x:c>
      <x:c r="E33" s="789" t="n">
        <x:f>SUMIFS('Class Log'!$N$7:$N$352,'Class Log'!$D$7:$D$352,$A33,'Class Log'!$L$7:$L$352,$B33)</x:f>
        <x:v>0</x:v>
      </x:c>
      <x:c r="F33" s="897"/>
      <x:c r="G33" s="869" t="str">
        <x:f>IF(F33="","",F33/30)</x:f>
      </x:c>
      <x:c r="H33" s="465"/>
      <x:c r="I33" s="725" t="str">
        <x:v>5. New holiday? Add its date in Routine &amp; Holidays.</x:v>
      </x:c>
      <x:c r="J33" s="726"/>
      <x:c r="K33" s="726"/>
      <x:c r="L33" s="727"/>
      <x:c r="M33" s="465"/>
      <x:c r="N33" s="465"/>
      <x:c r="O33" s="465"/>
      <x:c r="P33" s="465"/>
      <x:c r="Q33" s="465"/>
    </x:row>
    <x:row r="34" ht="23" customHeight="1">
      <x:c r="A34" s="790" t="str">
        <x:v>CE 3211</x:v>
      </x:c>
      <x:c r="B34" s="789" t="str">
        <x:v>ATB</x:v>
      </x:c>
      <x:c r="C34" s="789" t="n">
        <x:f>COUNTIFS('Class Log'!$D$7:$D$352,$A34,'Class Log'!$L$7:$L$352,$B34,'Class Log'!$K$7:$K$352,"&lt;&gt;None")</x:f>
        <x:v>0</x:v>
      </x:c>
      <x:c r="D34" s="789" t="n">
        <x:f>SUMIFS('Class Log'!$M$7:$M$352,'Class Log'!$D$7:$D$352,$A34,'Class Log'!$L$7:$L$352,$B34)</x:f>
        <x:v>0</x:v>
      </x:c>
      <x:c r="E34" s="789" t="n">
        <x:f>SUMIFS('Class Log'!$N$7:$N$352,'Class Log'!$D$7:$D$352,$A34,'Class Log'!$L$7:$L$352,$B34)</x:f>
        <x:v>0</x:v>
      </x:c>
      <x:c r="F34" s="897"/>
      <x:c r="G34" s="869" t="str">
        <x:f>IF(F34="","",F34/30)</x:f>
      </x:c>
      <x:c r="H34" s="465"/>
      <x:c r="I34" s="731" t="str">
        <x:v>6. Dashboard updates automatically; ≥60% = eligible.</x:v>
      </x:c>
      <x:c r="J34" s="732"/>
      <x:c r="K34" s="732"/>
      <x:c r="L34" s="733"/>
      <x:c r="M34" s="465"/>
      <x:c r="N34" s="465"/>
      <x:c r="O34" s="465"/>
      <x:c r="P34" s="465"/>
      <x:c r="Q34" s="465"/>
    </x:row>
    <x:row r="35">
      <x:c r="A35" s="796" t="str">
        <x:v>CE 3213</x:v>
      </x:c>
      <x:c r="B35" s="870" t="str">
        <x:v>HRS</x:v>
      </x:c>
      <x:c r="C35" s="870" t="n">
        <x:f>COUNTIFS('Class Log'!$D$7:$D$352,$A35,'Class Log'!$L$7:$L$352,$B35,'Class Log'!$K$7:$K$352,"&lt;&gt;None")</x:f>
        <x:v>0</x:v>
      </x:c>
      <x:c r="D35" s="870" t="n">
        <x:f>SUMIFS('Class Log'!$M$7:$M$352,'Class Log'!$D$7:$D$352,$A35,'Class Log'!$L$7:$L$352,$B35)</x:f>
        <x:v>0</x:v>
      </x:c>
      <x:c r="E35" s="870" t="n">
        <x:f>SUMIFS('Class Log'!$N$7:$N$352,'Class Log'!$D$7:$D$352,$A35,'Class Log'!$L$7:$L$352,$B35)</x:f>
        <x:v>0</x:v>
      </x:c>
      <x:c r="F35" s="898"/>
      <x:c r="G35" s="872" t="str">
        <x:f>IF(F35="","",F35/30)</x:f>
      </x:c>
      <x:c r="H35" s="465"/>
      <x:c r="I35" s="465"/>
      <x:c r="J35" s="465"/>
      <x:c r="K35" s="465"/>
      <x:c r="L35" s="465"/>
      <x:c r="M35" s="465"/>
      <x:c r="N35" s="465"/>
      <x:c r="O35" s="465"/>
      <x:c r="P35" s="465"/>
      <x:c r="Q35" s="465"/>
    </x:row>
    <x:row r="36">
      <x:c r="A36" s="790" t="str">
        <x:v>CE 3213</x:v>
      </x:c>
      <x:c r="B36" s="789" t="str">
        <x:v>MKI</x:v>
      </x:c>
      <x:c r="C36" s="789" t="n">
        <x:f>COUNTIFS('Class Log'!$D$7:$D$352,$A36,'Class Log'!$L$7:$L$352,$B36,'Class Log'!$K$7:$K$352,"&lt;&gt;None")</x:f>
        <x:v>0</x:v>
      </x:c>
      <x:c r="D36" s="789" t="n">
        <x:f>SUMIFS('Class Log'!$M$7:$M$352,'Class Log'!$D$7:$D$352,$A36,'Class Log'!$L$7:$L$352,$B36)</x:f>
        <x:v>0</x:v>
      </x:c>
      <x:c r="E36" s="789" t="n">
        <x:f>SUMIFS('Class Log'!$N$7:$N$352,'Class Log'!$D$7:$D$352,$A36,'Class Log'!$L$7:$L$352,$B36)</x:f>
        <x:v>0</x:v>
      </x:c>
      <x:c r="F36" s="897"/>
      <x:c r="G36" s="869" t="str">
        <x:f>IF(F36="","",F36/30)</x:f>
      </x:c>
      <x:c r="H36" s="465"/>
      <x:c r="I36" s="465"/>
      <x:c r="J36" s="465"/>
      <x:c r="K36" s="465"/>
      <x:c r="L36" s="465"/>
      <x:c r="M36" s="465"/>
      <x:c r="N36" s="465"/>
      <x:c r="O36" s="465"/>
      <x:c r="P36" s="465"/>
      <x:c r="Q36" s="465"/>
    </x:row>
    <x:row r="37">
      <x:c r="A37" s="790" t="str">
        <x:v>CE 3223</x:v>
      </x:c>
      <x:c r="B37" s="789" t="str">
        <x:v>MSA</x:v>
      </x:c>
      <x:c r="C37" s="789" t="n">
        <x:f>COUNTIFS('Class Log'!$D$7:$D$352,$A37,'Class Log'!$L$7:$L$352,$B37,'Class Log'!$K$7:$K$352,"&lt;&gt;None")</x:f>
        <x:v>0</x:v>
      </x:c>
      <x:c r="D37" s="789" t="n">
        <x:f>SUMIFS('Class Log'!$M$7:$M$352,'Class Log'!$D$7:$D$352,$A37,'Class Log'!$L$7:$L$352,$B37)</x:f>
        <x:v>0</x:v>
      </x:c>
      <x:c r="E37" s="789" t="n">
        <x:f>SUMIFS('Class Log'!$N$7:$N$352,'Class Log'!$D$7:$D$352,$A37,'Class Log'!$L$7:$L$352,$B37)</x:f>
        <x:v>0</x:v>
      </x:c>
      <x:c r="F37" s="897"/>
      <x:c r="G37" s="869" t="str">
        <x:f>IF(F37="","",F37/30)</x:f>
      </x:c>
      <x:c r="H37" s="465"/>
      <x:c r="I37" s="465"/>
      <x:c r="J37" s="465"/>
      <x:c r="K37" s="465"/>
      <x:c r="L37" s="465"/>
      <x:c r="M37" s="465"/>
      <x:c r="N37" s="465"/>
      <x:c r="O37" s="465"/>
      <x:c r="P37" s="465"/>
      <x:c r="Q37" s="465"/>
    </x:row>
    <x:row r="38">
      <x:c r="A38" s="873" t="str">
        <x:v>CE 3223</x:v>
      </x:c>
      <x:c r="B38" s="874" t="str">
        <x:v>MHI</x:v>
      </x:c>
      <x:c r="C38" s="874" t="n">
        <x:f>COUNTIFS('Class Log'!$D$7:$D$352,$A38,'Class Log'!$L$7:$L$352,$B38,'Class Log'!$K$7:$K$352,"&lt;&gt;None")</x:f>
        <x:v>0</x:v>
      </x:c>
      <x:c r="D38" s="874" t="n">
        <x:f>SUMIFS('Class Log'!$M$7:$M$352,'Class Log'!$D$7:$D$352,$A38,'Class Log'!$L$7:$L$352,$B38)</x:f>
        <x:v>0</x:v>
      </x:c>
      <x:c r="E38" s="874" t="n">
        <x:f>SUMIFS('Class Log'!$N$7:$N$352,'Class Log'!$D$7:$D$352,$A38,'Class Log'!$L$7:$L$352,$B38)</x:f>
        <x:v>0</x:v>
      </x:c>
      <x:c r="F38" s="898"/>
      <x:c r="G38" s="875" t="str">
        <x:f>IF(F38="","",F38/30)</x:f>
      </x:c>
      <x:c r="H38" s="518"/>
      <x:c r="I38" s="518"/>
      <x:c r="J38" s="518"/>
      <x:c r="K38" s="518"/>
      <x:c r="L38" s="518"/>
      <x:c r="M38" s="518"/>
      <x:c r="N38" s="518"/>
      <x:c r="O38" s="518"/>
      <x:c r="P38" s="518"/>
      <x:c r="Q38" s="518"/>
    </x:row>
    <x:row r="39">
      <x:c r="A39" s="278"/>
      <x:c r="B39" s="278"/>
      <x:c r="C39" s="278"/>
      <x:c r="D39" s="278"/>
      <x:c r="E39" s="278"/>
      <x:c r="F39" s="278"/>
      <x:c r="G39" s="278"/>
      <x:c r="H39" s="278"/>
      <x:c r="I39" s="278"/>
      <x:c r="J39" s="278"/>
      <x:c r="K39" s="278"/>
      <x:c r="L39" s="278"/>
    </x:row>
    <x:row r="40">
      <x:c r="A40" s="278"/>
      <x:c r="B40" s="278"/>
      <x:c r="C40" s="278"/>
      <x:c r="D40" s="278"/>
      <x:c r="E40" s="278"/>
      <x:c r="F40" s="278"/>
      <x:c r="G40" s="278"/>
      <x:c r="H40" s="278"/>
      <x:c r="I40" s="278"/>
      <x:c r="J40" s="278"/>
      <x:c r="K40" s="278"/>
      <x:c r="L40" s="278"/>
    </x:row>
    <x:row r="41">
      <x:c r="A41" s="278"/>
      <x:c r="B41" s="278"/>
      <x:c r="C41" s="278"/>
      <x:c r="D41" s="278"/>
      <x:c r="E41" s="278"/>
      <x:c r="F41" s="278"/>
      <x:c r="G41" s="278"/>
      <x:c r="H41" s="278"/>
      <x:c r="I41" s="278"/>
      <x:c r="J41" s="278"/>
      <x:c r="K41" s="278"/>
      <x:c r="L41" s="278"/>
    </x:row>
    <x:row r="42">
      <x:c r="A42" s="295" t="str">
        <x:v>© 2026 K.I.Rohan • Bad Time Studio — Created exclusively for BECM 2K22, 3rd Year 2nd Term. Keep creator credit intact.</x:v>
      </x:c>
      <x:c r="B42" s="295"/>
      <x:c r="C42" s="295"/>
      <x:c r="D42" s="295"/>
      <x:c r="E42" s="295"/>
      <x:c r="F42" s="295"/>
      <x:c r="G42" s="295"/>
      <x:c r="H42" s="295"/>
      <x:c r="I42" s="295"/>
      <x:c r="J42" s="295"/>
      <x:c r="K42" s="295"/>
      <x:c r="L42" s="295"/>
      <x:c r="M42" s="295"/>
      <x:c r="N42" s="295"/>
      <x:c r="O42" s="295"/>
      <x:c r="P42" s="295"/>
      <x:c r="Q42" s="295"/>
    </x:row>
  </x:sheetData>
  <x:mergeCells>
    <x:mergeCell ref="A1:Q1"/>
    <x:mergeCell ref="A2:Q2"/>
    <x:mergeCell ref="A4:D4"/>
    <x:mergeCell ref="A9:D9"/>
    <x:mergeCell ref="F4:H4"/>
    <x:mergeCell ref="F5:H6"/>
    <x:mergeCell ref="I4:K4"/>
    <x:mergeCell ref="I5:K6"/>
    <x:mergeCell ref="L4:N4"/>
    <x:mergeCell ref="L5:N6"/>
    <x:mergeCell ref="O4:Q4"/>
    <x:mergeCell ref="O5:Q6"/>
    <x:mergeCell ref="A11:K11"/>
    <x:mergeCell ref="M11:Q11"/>
    <x:mergeCell ref="A27:G27"/>
    <x:mergeCell ref="I27:L27"/>
    <x:mergeCell ref="I29:L29"/>
    <x:mergeCell ref="I30:L30"/>
    <x:mergeCell ref="I31:L31"/>
    <x:mergeCell ref="I32:L32"/>
    <x:mergeCell ref="I33:L33"/>
    <x:mergeCell ref="I34:L34"/>
    <x:mergeCell ref="A42:Q42"/>
  </x:mergeCells>
  <x:conditionalFormatting sqref="I13:I21">
    <x:cfRule type="dataBar" priority="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conditionalFormatting sqref="K13:K21">
    <x:cfRule type="expression" dxfId="0" priority="2">
      <x:formula>K13="Eligible"</x:formula>
    </x:cfRule>
    <x:cfRule type="expression" dxfId="1" priority="3">
      <x:formula>K13="Below 60%"</x:formula>
    </x:cfRule>
  </x:conditionalFormatting>
  <x:conditionalFormatting sqref="G26:G35">
    <x:cfRule type="dataBar" priority="4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{C5593AA7-0028-5BEA-E3E0-8178783C1A47}</x14:id>
        </x:ext>
      </x:extLst>
    </x:cfRule>
  </x:conditionalFormatting>
  <x:conditionalFormatting sqref="G29:G38">
    <x:cfRule type="dataBar" priority="5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dataValidations count="4">
    <x:dataValidation type="list" sqref="C5">
      <x:formula1>"Sun PM,Thu AM"</x:formula1>
    </x:dataValidation>
    <x:dataValidation type="list" sqref="C6">
      <x:formula1>"Tue PM,Wed PM"</x:formula1>
    </x:dataValidation>
    <x:dataValidation type="list" sqref="C7">
      <x:formula1>"Tue AM,Thu PM"</x:formula1>
    </x:dataValidation>
    <x:dataValidation type="list" sqref="C8">
      <x:formula1>"Odd Weeks,Even Weeks,Every Week"</x:formula1>
    </x:dataValidation>
  </x:dataValidations>
  <x:pageMargins left="0.7" right="0.7" top="0.75" bottom="0.75" header="0.3" footer="0.3"/>
  <x:drawing xmlns:r="http://schemas.openxmlformats.org/officeDocument/2006/relationships" r:id="Rc0105744d4cb4ae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563EB"/>
            </x14:dataBar>
          </x14:cfRule>
          <xm:sqref>I13:I21</xm:sqref>
        </x14:conditionalFormatting>
        <x14:conditionalFormatting>
          <x14:cfRule type="dataBar" priority="4" id="{C5593AA7-0028-5BEA-E3E0-8178783C1A47}">
            <x14:dataBar gradient="1">
              <x14:cfvo type="min"/>
              <x14:cfvo type="max"/>
              <x14:fillColor rgb="FF0F766E"/>
            </x14:dataBar>
          </x14:cfRule>
          <xm:sqref>G26:G35</xm:sqref>
        </x14:conditionalFormatting>
        <x14:conditionalFormatting>
          <x14:cfRule type="dataBar" priority="5" id="{9FB71B9A-F398-1C5C-AB63-4C1EA09CC5DA}">
            <x14:dataBar gradient="1">
              <x14:cfvo type="min"/>
              <x14:cfvo type="max"/>
              <x14:fillColor rgb="FF0F766E"/>
            </x14:dataBar>
          </x14:cfRule>
          <xm:sqref>G29:G38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9" hidden="0" customWidth="1"/>
    <x:col min="3" max="3" width="9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5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>
      <x:c r="A1" s="5" t="str">
        <x:v>BECM 2K22 — Class Log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>
      <x:c r="A2" s="575" t="str">
        <x:v>Use Attendance as your daily tick. Regular rows are preloaded; extra-class rows are available at the bottom. Grey inactive rows are ignored.</x:v>
      </x:c>
      <x:c r="B2" s="575"/>
      <x:c r="C2" s="575"/>
      <x:c r="D2" s="575"/>
      <x:c r="E2" s="575"/>
      <x:c r="F2" s="575"/>
      <x:c r="G2" s="575"/>
      <x:c r="H2" s="575"/>
      <x:c r="I2" s="575"/>
      <x:c r="J2" s="575"/>
      <x:c r="K2" s="575"/>
      <x:c r="L2" s="575"/>
      <x:c r="M2" s="575"/>
      <x:c r="N2" s="575"/>
      <x:c r="O2" s="575"/>
    </x:row>
    <x:row r="3">
      <x:c r="A3" s="397"/>
      <x:c r="B3" s="397"/>
      <x:c r="C3" s="397"/>
      <x:c r="D3" s="397"/>
      <x:c r="E3" s="397"/>
      <x:c r="F3" s="397"/>
      <x:c r="G3" s="397"/>
      <x:c r="H3" s="397"/>
      <x:c r="I3" s="397"/>
      <x:c r="J3" s="397"/>
      <x:c r="K3" s="397"/>
      <x:c r="L3" s="397"/>
      <x:c r="M3" s="397"/>
      <x:c r="N3" s="397"/>
      <x:c r="O3" s="397"/>
    </x:row>
    <x:row r="4">
      <x:c r="A4" s="576" t="str">
        <x:v>ATTENDANCE: Attended / Missed / Cancelled • TEST TYPE: None / Spot Test / CT / Quiz</x:v>
      </x:c>
      <x:c r="B4" s="576"/>
      <x:c r="C4" s="576"/>
      <x:c r="D4" s="576"/>
      <x:c r="E4" s="576"/>
      <x:c r="F4" s="576"/>
      <x:c r="G4" s="576"/>
      <x:c r="H4" s="576"/>
      <x:c r="I4" s="576"/>
      <x:c r="J4" s="576"/>
      <x:c r="K4" s="576"/>
      <x:c r="L4" s="576"/>
      <x:c r="M4" s="576"/>
      <x:c r="N4" s="576"/>
      <x:c r="O4" s="576"/>
    </x:row>
    <x:row r="5">
      <x:c r="A5" s="397"/>
      <x:c r="B5" s="397"/>
      <x:c r="C5" s="397"/>
      <x:c r="D5" s="397"/>
      <x:c r="E5" s="397"/>
      <x:c r="F5" s="397"/>
      <x:c r="G5" s="397"/>
      <x:c r="H5" s="397"/>
      <x:c r="I5" s="397"/>
      <x:c r="J5" s="397"/>
      <x:c r="K5" s="397"/>
      <x:c r="L5" s="397"/>
      <x:c r="M5" s="397"/>
      <x:c r="N5" s="397"/>
      <x:c r="O5" s="397"/>
    </x:row>
    <x:row r="6">
      <x:c r="A6" s="186" t="str">
        <x:v>Date</x:v>
      </x:c>
      <x:c r="B6" s="186" t="str">
        <x:v>Day</x:v>
      </x:c>
      <x:c r="C6" s="186" t="str">
        <x:v>Week</x:v>
      </x:c>
      <x:c r="D6" s="186" t="str">
        <x:v>Course</x:v>
      </x:c>
      <x:c r="E6" s="186" t="str">
        <x:v>Nature</x:v>
      </x:c>
      <x:c r="F6" s="186" t="str">
        <x:v>Teacher(s)</x:v>
      </x:c>
      <x:c r="G6" s="186" t="str">
        <x:v>Period / Time</x:v>
      </x:c>
      <x:c r="H6" s="186" t="str">
        <x:v>Routine Slot</x:v>
      </x:c>
      <x:c r="I6" s="186" t="str">
        <x:v>Active?</x:v>
      </x:c>
      <x:c r="J6" s="186" t="str">
        <x:v>Attendance</x:v>
      </x:c>
      <x:c r="K6" s="186" t="str">
        <x:v>Test Type</x:v>
      </x:c>
      <x:c r="L6" s="186" t="str">
        <x:v>Test By</x:v>
      </x:c>
      <x:c r="M6" s="186" t="str">
        <x:v>Score</x:v>
      </x:c>
      <x:c r="N6" s="186" t="str">
        <x:v>Out Of</x:v>
      </x:c>
      <x:c r="O6" s="186" t="str">
        <x:v>Notes</x:v>
      </x:c>
    </x:row>
    <x:row r="7">
      <x:c r="A7" s="577" t="n">
        <x:v>46271</x:v>
      </x:c>
      <x:c r="B7" s="578" t="str">
        <x:v>Sun</x:v>
      </x:c>
      <x:c r="C7" s="578" t="n">
        <x:v>1</x:v>
      </x:c>
      <x:c r="D7" s="578" t="str">
        <x:v>BECM 3204</x:v>
      </x:c>
      <x:c r="E7" s="578" t="str">
        <x:v>Regular</x:v>
      </x:c>
      <x:c r="F7" s="599" t="str">
        <x:v>HRS/MR</x:v>
      </x:c>
      <x:c r="G7" s="599" t="str">
        <x:v>7-9 • 02:30 PM–05:00 PM • Room 404</x:v>
      </x:c>
      <x:c r="H7" s="599" t="str">
        <x:v>Sun PM</x:v>
      </x:c>
      <x:c r="I7" s="599" t="str">
        <x:f>IF(E7="Extra",IF(AND(A7&lt;&gt;"",D7&lt;&gt;""),"Yes",""),IF(COUNTIF('Routine &amp; Holidays'!$M$8:$M$35,A7)&gt;0,"No",IF(D7="BECM 3204",IF(H7=Dashboard!$C$5,"Yes","No"),IF(D7="BECM 3208",IF(H7=Dashboard!$C$6,"Yes","No"),IF(D7="CE 3224",IF(H7=Dashboard!$C$7,"Yes","No"),IF(D7="BECM 3200",IF(Dashboard!$C$8="Every Week","Yes",IF(Dashboard!$C$8="Odd Weeks",IF(MOD(C7,2)=1,"Yes","No"),IF(MOD(C7,2)=0,"Yes","No"))),"Yes"))))))</x:f>
        <x:v>Yes</x:v>
      </x:c>
      <x:c r="J7" s="599"/>
      <x:c r="K7" s="599" t="str">
        <x:v>None</x:v>
      </x:c>
      <x:c r="L7" s="599"/>
      <x:c r="M7" s="599"/>
      <x:c r="N7" s="599"/>
      <x:c r="O7" s="600"/>
    </x:row>
    <x:row r="8">
      <x:c r="A8" s="580" t="n">
        <x:v>46271</x:v>
      </x:c>
      <x:c r="B8" s="581" t="str">
        <x:v>Sun</x:v>
      </x:c>
      <x:c r="C8" s="581" t="n">
        <x:v>1</x:v>
      </x:c>
      <x:c r="D8" s="581" t="str">
        <x:v>CE 3213</x:v>
      </x:c>
      <x:c r="E8" s="581" t="str">
        <x:v>Regular</x:v>
      </x:c>
      <x:c r="F8" s="601" t="str">
        <x:v>HRS</x:v>
      </x:c>
      <x:c r="G8" s="601" t="str">
        <x:v>4th • 10:40 AM–11:30 AM • Room 501</x:v>
      </x:c>
      <x:c r="H8" s="601" t="str">
        <x:v>SUN P4</x:v>
      </x:c>
      <x:c r="I8" s="601" t="str">
        <x:f>IF(E8="Extra",IF(AND(A8&lt;&gt;"",D8&lt;&gt;""),"Yes",""),IF(COUNTIF('Routine &amp; Holidays'!$M$8:$M$35,A8)&gt;0,"No",IF(D8="BECM 3204",IF(H8=Dashboard!$C$5,"Yes","No"),IF(D8="BECM 3208",IF(H8=Dashboard!$C$6,"Yes","No"),IF(D8="CE 3224",IF(H8=Dashboard!$C$7,"Yes","No"),IF(D8="BECM 3200",IF(Dashboard!$C$8="Every Week","Yes",IF(Dashboard!$C$8="Odd Weeks",IF(MOD(C8,2)=1,"Yes","No"),IF(MOD(C8,2)=0,"Yes","No"))),"Yes"))))))</x:f>
        <x:v>Yes</x:v>
      </x:c>
      <x:c r="J8" s="601"/>
      <x:c r="K8" s="601" t="str">
        <x:v>None</x:v>
      </x:c>
      <x:c r="L8" s="601"/>
      <x:c r="M8" s="601"/>
      <x:c r="N8" s="601"/>
      <x:c r="O8" s="602"/>
    </x:row>
    <x:row r="9">
      <x:c r="A9" s="580" t="n">
        <x:v>46271</x:v>
      </x:c>
      <x:c r="B9" s="581" t="str">
        <x:v>Sun</x:v>
      </x:c>
      <x:c r="C9" s="581" t="n">
        <x:v>1</x:v>
      </x:c>
      <x:c r="D9" s="581" t="str">
        <x:v>CE 3223</x:v>
      </x:c>
      <x:c r="E9" s="581" t="str">
        <x:v>Regular</x:v>
      </x:c>
      <x:c r="F9" s="601" t="str">
        <x:v>MSA</x:v>
      </x:c>
      <x:c r="G9" s="601" t="str">
        <x:v>5th • 11:30 AM–12:20 PM • Room 501</x:v>
      </x:c>
      <x:c r="H9" s="601" t="str">
        <x:v>SUN P5</x:v>
      </x:c>
      <x:c r="I9" s="601" t="str">
        <x:f>IF(E9="Extra",IF(AND(A9&lt;&gt;"",D9&lt;&gt;""),"Yes",""),IF(COUNTIF('Routine &amp; Holidays'!$M$8:$M$35,A9)&gt;0,"No",IF(D9="BECM 3204",IF(H9=Dashboard!$C$5,"Yes","No"),IF(D9="BECM 3208",IF(H9=Dashboard!$C$6,"Yes","No"),IF(D9="CE 3224",IF(H9=Dashboard!$C$7,"Yes","No"),IF(D9="BECM 3200",IF(Dashboard!$C$8="Every Week","Yes",IF(Dashboard!$C$8="Odd Weeks",IF(MOD(C9,2)=1,"Yes","No"),IF(MOD(C9,2)=0,"Yes","No"))),"Yes"))))))</x:f>
        <x:v>Yes</x:v>
      </x:c>
      <x:c r="J9" s="601"/>
      <x:c r="K9" s="601" t="str">
        <x:v>None</x:v>
      </x:c>
      <x:c r="L9" s="601"/>
      <x:c r="M9" s="601"/>
      <x:c r="N9" s="601"/>
      <x:c r="O9" s="602"/>
    </x:row>
    <x:row r="10">
      <x:c r="A10" s="580" t="n">
        <x:v>46271</x:v>
      </x:c>
      <x:c r="B10" s="581" t="str">
        <x:v>Sun</x:v>
      </x:c>
      <x:c r="C10" s="581" t="n">
        <x:v>1</x:v>
      </x:c>
      <x:c r="D10" s="581" t="str">
        <x:v>CE 3211</x:v>
      </x:c>
      <x:c r="E10" s="581" t="str">
        <x:v>Regular</x:v>
      </x:c>
      <x:c r="F10" s="601" t="str">
        <x:v>MKI</x:v>
      </x:c>
      <x:c r="G10" s="601" t="str">
        <x:v>6th • 12:20 PM–01:10 PM • Room 501</x:v>
      </x:c>
      <x:c r="H10" s="601" t="str">
        <x:v>SUN P6</x:v>
      </x:c>
      <x:c r="I10" s="601" t="str">
        <x:f>IF(E10="Extra",IF(AND(A10&lt;&gt;"",D10&lt;&gt;""),"Yes",""),IF(COUNTIF('Routine &amp; Holidays'!$M$8:$M$35,A10)&gt;0,"No",IF(D10="BECM 3204",IF(H10=Dashboard!$C$5,"Yes","No"),IF(D10="BECM 3208",IF(H10=Dashboard!$C$6,"Yes","No"),IF(D10="CE 3224",IF(H10=Dashboard!$C$7,"Yes","No"),IF(D10="BECM 3200",IF(Dashboard!$C$8="Every Week","Yes",IF(Dashboard!$C$8="Odd Weeks",IF(MOD(C10,2)=1,"Yes","No"),IF(MOD(C10,2)=0,"Yes","No"))),"Yes"))))))</x:f>
        <x:v>Yes</x:v>
      </x:c>
      <x:c r="J10" s="601"/>
      <x:c r="K10" s="601" t="str">
        <x:v>None</x:v>
      </x:c>
      <x:c r="L10" s="601"/>
      <x:c r="M10" s="601"/>
      <x:c r="N10" s="601"/>
      <x:c r="O10" s="602"/>
    </x:row>
    <x:row r="11">
      <x:c r="A11" s="580" t="n">
        <x:v>46272</x:v>
      </x:c>
      <x:c r="B11" s="581" t="str">
        <x:v>Mon</x:v>
      </x:c>
      <x:c r="C11" s="581" t="n">
        <x:v>1</x:v>
      </x:c>
      <x:c r="D11" s="581" t="str">
        <x:v>BECM 3200</x:v>
      </x:c>
      <x:c r="E11" s="581" t="str">
        <x:v>Regular</x:v>
      </x:c>
      <x:c r="F11" s="601" t="str">
        <x:v>ALL</x:v>
      </x:c>
      <x:c r="G11" s="601" t="str">
        <x:v>7-9 • 02:30 PM–05:00 PM</x:v>
      </x:c>
      <x:c r="H11" s="601" t="str">
        <x:v>Mon PM</x:v>
      </x:c>
      <x:c r="I11" s="601" t="str">
        <x:f>IF(E11="Extra",IF(AND(A11&lt;&gt;"",D11&lt;&gt;""),"Yes",""),IF(COUNTIF('Routine &amp; Holidays'!$M$8:$M$35,A11)&gt;0,"No",IF(D11="BECM 3204",IF(H11=Dashboard!$C$5,"Yes","No"),IF(D11="BECM 3208",IF(H11=Dashboard!$C$6,"Yes","No"),IF(D11="CE 3224",IF(H11=Dashboard!$C$7,"Yes","No"),IF(D11="BECM 3200",IF(Dashboard!$C$8="Every Week","Yes",IF(Dashboard!$C$8="Odd Weeks",IF(MOD(C11,2)=1,"Yes","No"),IF(MOD(C11,2)=0,"Yes","No"))),"Yes"))))))</x:f>
        <x:v>Yes</x:v>
      </x:c>
      <x:c r="J11" s="601"/>
      <x:c r="K11" s="601" t="str">
        <x:v>None</x:v>
      </x:c>
      <x:c r="L11" s="601"/>
      <x:c r="M11" s="601"/>
      <x:c r="N11" s="601"/>
      <x:c r="O11" s="602"/>
    </x:row>
    <x:row r="12">
      <x:c r="A12" s="580" t="n">
        <x:v>46272</x:v>
      </x:c>
      <x:c r="B12" s="581" t="str">
        <x:v>Mon</x:v>
      </x:c>
      <x:c r="C12" s="581" t="n">
        <x:v>1</x:v>
      </x:c>
      <x:c r="D12" s="581" t="str">
        <x:v>CE 3223</x:v>
      </x:c>
      <x:c r="E12" s="581" t="str">
        <x:v>Regular</x:v>
      </x:c>
      <x:c r="F12" s="601" t="str">
        <x:v>MHI/MSA</x:v>
      </x:c>
      <x:c r="G12" s="601" t="str">
        <x:v>3rd • 09:40 AM–10:30 AM • Room 404</x:v>
      </x:c>
      <x:c r="H12" s="601" t="str">
        <x:v>MON P3</x:v>
      </x:c>
      <x:c r="I12" s="601" t="str">
        <x:f>IF(E12="Extra",IF(AND(A12&lt;&gt;"",D12&lt;&gt;""),"Yes",""),IF(COUNTIF('Routine &amp; Holidays'!$M$8:$M$35,A12)&gt;0,"No",IF(D12="BECM 3204",IF(H12=Dashboard!$C$5,"Yes","No"),IF(D12="BECM 3208",IF(H12=Dashboard!$C$6,"Yes","No"),IF(D12="CE 3224",IF(H12=Dashboard!$C$7,"Yes","No"),IF(D12="BECM 3200",IF(Dashboard!$C$8="Every Week","Yes",IF(Dashboard!$C$8="Odd Weeks",IF(MOD(C12,2)=1,"Yes","No"),IF(MOD(C12,2)=0,"Yes","No"))),"Yes"))))))</x:f>
        <x:v>Yes</x:v>
      </x:c>
      <x:c r="J12" s="601"/>
      <x:c r="K12" s="601" t="str">
        <x:v>None</x:v>
      </x:c>
      <x:c r="L12" s="601"/>
      <x:c r="M12" s="601"/>
      <x:c r="N12" s="601"/>
      <x:c r="O12" s="602"/>
    </x:row>
    <x:row r="13">
      <x:c r="A13" s="580" t="n">
        <x:v>46272</x:v>
      </x:c>
      <x:c r="B13" s="581" t="str">
        <x:v>Mon</x:v>
      </x:c>
      <x:c r="C13" s="581" t="n">
        <x:v>1</x:v>
      </x:c>
      <x:c r="D13" s="581" t="str">
        <x:v>BECM 3201</x:v>
      </x:c>
      <x:c r="E13" s="581" t="str">
        <x:v>Regular</x:v>
      </x:c>
      <x:c r="F13" s="601" t="str">
        <x:v>MR</x:v>
      </x:c>
      <x:c r="G13" s="601" t="str">
        <x:v>5th • 11:30 AM–12:20 PM • Room 405</x:v>
      </x:c>
      <x:c r="H13" s="601" t="str">
        <x:v>MON P5</x:v>
      </x:c>
      <x:c r="I13" s="601" t="str">
        <x:f>IF(E13="Extra",IF(AND(A13&lt;&gt;"",D13&lt;&gt;""),"Yes",""),IF(COUNTIF('Routine &amp; Holidays'!$M$8:$M$35,A13)&gt;0,"No",IF(D13="BECM 3204",IF(H13=Dashboard!$C$5,"Yes","No"),IF(D13="BECM 3208",IF(H13=Dashboard!$C$6,"Yes","No"),IF(D13="CE 3224",IF(H13=Dashboard!$C$7,"Yes","No"),IF(D13="BECM 3200",IF(Dashboard!$C$8="Every Week","Yes",IF(Dashboard!$C$8="Odd Weeks",IF(MOD(C13,2)=1,"Yes","No"),IF(MOD(C13,2)=0,"Yes","No"))),"Yes"))))))</x:f>
        <x:v>Yes</x:v>
      </x:c>
      <x:c r="J13" s="601"/>
      <x:c r="K13" s="601" t="str">
        <x:v>None</x:v>
      </x:c>
      <x:c r="L13" s="601"/>
      <x:c r="M13" s="601"/>
      <x:c r="N13" s="601"/>
      <x:c r="O13" s="602"/>
    </x:row>
    <x:row r="14">
      <x:c r="A14" s="580" t="n">
        <x:v>46272</x:v>
      </x:c>
      <x:c r="B14" s="581" t="str">
        <x:v>Mon</x:v>
      </x:c>
      <x:c r="C14" s="581" t="n">
        <x:v>1</x:v>
      </x:c>
      <x:c r="D14" s="581" t="str">
        <x:v>BECM 3205</x:v>
      </x:c>
      <x:c r="E14" s="581" t="str">
        <x:v>Regular</x:v>
      </x:c>
      <x:c r="F14" s="601" t="str">
        <x:v>AAM</x:v>
      </x:c>
      <x:c r="G14" s="601" t="str">
        <x:v>6th • 12:20 PM–01:10 PM • Room 405</x:v>
      </x:c>
      <x:c r="H14" s="601" t="str">
        <x:v>MON P6</x:v>
      </x:c>
      <x:c r="I14" s="601" t="str">
        <x:f>IF(E14="Extra",IF(AND(A14&lt;&gt;"",D14&lt;&gt;""),"Yes",""),IF(COUNTIF('Routine &amp; Holidays'!$M$8:$M$35,A14)&gt;0,"No",IF(D14="BECM 3204",IF(H14=Dashboard!$C$5,"Yes","No"),IF(D14="BECM 3208",IF(H14=Dashboard!$C$6,"Yes","No"),IF(D14="CE 3224",IF(H14=Dashboard!$C$7,"Yes","No"),IF(D14="BECM 3200",IF(Dashboard!$C$8="Every Week","Yes",IF(Dashboard!$C$8="Odd Weeks",IF(MOD(C14,2)=1,"Yes","No"),IF(MOD(C14,2)=0,"Yes","No"))),"Yes"))))))</x:f>
        <x:v>Yes</x:v>
      </x:c>
      <x:c r="J14" s="601"/>
      <x:c r="K14" s="601" t="str">
        <x:v>None</x:v>
      </x:c>
      <x:c r="L14" s="601"/>
      <x:c r="M14" s="601"/>
      <x:c r="N14" s="601"/>
      <x:c r="O14" s="602"/>
    </x:row>
    <x:row r="15">
      <x:c r="A15" s="580" t="n">
        <x:v>46273</x:v>
      </x:c>
      <x:c r="B15" s="581" t="str">
        <x:v>Tues</x:v>
      </x:c>
      <x:c r="C15" s="581" t="n">
        <x:v>1</x:v>
      </x:c>
      <x:c r="D15" s="581" t="str">
        <x:v>BECM 3208</x:v>
      </x:c>
      <x:c r="E15" s="581" t="str">
        <x:v>Regular</x:v>
      </x:c>
      <x:c r="F15" s="601" t="str">
        <x:v>MSH/MSA</x:v>
      </x:c>
      <x:c r="G15" s="601" t="str">
        <x:v>7-9 • 02:30 PM–05:00 PM</x:v>
      </x:c>
      <x:c r="H15" s="601" t="str">
        <x:v>Tue PM</x:v>
      </x:c>
      <x:c r="I15" s="601" t="str">
        <x:f>IF(E15="Extra",IF(AND(A15&lt;&gt;"",D15&lt;&gt;""),"Yes",""),IF(COUNTIF('Routine &amp; Holidays'!$M$8:$M$35,A15)&gt;0,"No",IF(D15="BECM 3204",IF(H15=Dashboard!$C$5,"Yes","No"),IF(D15="BECM 3208",IF(H15=Dashboard!$C$6,"Yes","No"),IF(D15="CE 3224",IF(H15=Dashboard!$C$7,"Yes","No"),IF(D15="BECM 3200",IF(Dashboard!$C$8="Every Week","Yes",IF(Dashboard!$C$8="Odd Weeks",IF(MOD(C15,2)=1,"Yes","No"),IF(MOD(C15,2)=0,"Yes","No"))),"Yes"))))))</x:f>
        <x:v>Yes</x:v>
      </x:c>
      <x:c r="J15" s="601"/>
      <x:c r="K15" s="601" t="str">
        <x:v>None</x:v>
      </x:c>
      <x:c r="L15" s="601"/>
      <x:c r="M15" s="601"/>
      <x:c r="N15" s="601"/>
      <x:c r="O15" s="602"/>
    </x:row>
    <x:row r="16">
      <x:c r="A16" s="580" t="n">
        <x:v>46273</x:v>
      </x:c>
      <x:c r="B16" s="581" t="str">
        <x:v>Tues</x:v>
      </x:c>
      <x:c r="C16" s="581" t="n">
        <x:v>1</x:v>
      </x:c>
      <x:c r="D16" s="581" t="str">
        <x:v>CE 3224</x:v>
      </x:c>
      <x:c r="E16" s="581" t="str">
        <x:v>Regular</x:v>
      </x:c>
      <x:c r="F16" s="601" t="str">
        <x:v>MHI/MRA</x:v>
      </x:c>
      <x:c r="G16" s="601" t="str">
        <x:v>1-3 • 08:00 AM–10:30 AM</x:v>
      </x:c>
      <x:c r="H16" s="601" t="str">
        <x:v>Tue AM</x:v>
      </x:c>
      <x:c r="I16" s="601" t="str">
        <x:f>IF(E16="Extra",IF(AND(A16&lt;&gt;"",D16&lt;&gt;""),"Yes",""),IF(COUNTIF('Routine &amp; Holidays'!$M$8:$M$35,A16)&gt;0,"No",IF(D16="BECM 3204",IF(H16=Dashboard!$C$5,"Yes","No"),IF(D16="BECM 3208",IF(H16=Dashboard!$C$6,"Yes","No"),IF(D16="CE 3224",IF(H16=Dashboard!$C$7,"Yes","No"),IF(D16="BECM 3200",IF(Dashboard!$C$8="Every Week","Yes",IF(Dashboard!$C$8="Odd Weeks",IF(MOD(C16,2)=1,"Yes","No"),IF(MOD(C16,2)=0,"Yes","No"))),"Yes"))))))</x:f>
        <x:v>Yes</x:v>
      </x:c>
      <x:c r="J16" s="601"/>
      <x:c r="K16" s="601" t="str">
        <x:v>None</x:v>
      </x:c>
      <x:c r="L16" s="601"/>
      <x:c r="M16" s="601"/>
      <x:c r="N16" s="601"/>
      <x:c r="O16" s="602"/>
    </x:row>
    <x:row r="17">
      <x:c r="A17" s="580" t="n">
        <x:v>46273</x:v>
      </x:c>
      <x:c r="B17" s="581" t="str">
        <x:v>Tues</x:v>
      </x:c>
      <x:c r="C17" s="581" t="n">
        <x:v>1</x:v>
      </x:c>
      <x:c r="D17" s="581" t="str">
        <x:v>CE 3213</x:v>
      </x:c>
      <x:c r="E17" s="581" t="str">
        <x:v>Regular</x:v>
      </x:c>
      <x:c r="F17" s="601" t="str">
        <x:v>MKI</x:v>
      </x:c>
      <x:c r="G17" s="601" t="str">
        <x:v>5th • 11:30 AM–12:20 PM • Room 405</x:v>
      </x:c>
      <x:c r="H17" s="601" t="str">
        <x:v>TUES P5</x:v>
      </x:c>
      <x:c r="I17" s="601" t="str">
        <x:f>IF(E17="Extra",IF(AND(A17&lt;&gt;"",D17&lt;&gt;""),"Yes",""),IF(COUNTIF('Routine &amp; Holidays'!$M$8:$M$35,A17)&gt;0,"No",IF(D17="BECM 3204",IF(H17=Dashboard!$C$5,"Yes","No"),IF(D17="BECM 3208",IF(H17=Dashboard!$C$6,"Yes","No"),IF(D17="CE 3224",IF(H17=Dashboard!$C$7,"Yes","No"),IF(D17="BECM 3200",IF(Dashboard!$C$8="Every Week","Yes",IF(Dashboard!$C$8="Odd Weeks",IF(MOD(C17,2)=1,"Yes","No"),IF(MOD(C17,2)=0,"Yes","No"))),"Yes"))))))</x:f>
        <x:v>Yes</x:v>
      </x:c>
      <x:c r="J17" s="601"/>
      <x:c r="K17" s="601" t="str">
        <x:v>None</x:v>
      </x:c>
      <x:c r="L17" s="601"/>
      <x:c r="M17" s="601"/>
      <x:c r="N17" s="601"/>
      <x:c r="O17" s="602"/>
    </x:row>
    <x:row r="18">
      <x:c r="A18" s="580" t="n">
        <x:v>46273</x:v>
      </x:c>
      <x:c r="B18" s="581" t="str">
        <x:v>Tues</x:v>
      </x:c>
      <x:c r="C18" s="581" t="n">
        <x:v>1</x:v>
      </x:c>
      <x:c r="D18" s="581" t="str">
        <x:v>BECM 3201</x:v>
      </x:c>
      <x:c r="E18" s="581" t="str">
        <x:v>Regular</x:v>
      </x:c>
      <x:c r="F18" s="601" t="str">
        <x:v>MRA</x:v>
      </x:c>
      <x:c r="G18" s="601" t="str">
        <x:v>6th • 12:20 PM–01:10 PM • Room 405</x:v>
      </x:c>
      <x:c r="H18" s="601" t="str">
        <x:v>TUES P6</x:v>
      </x:c>
      <x:c r="I18" s="601" t="str">
        <x:f>IF(E18="Extra",IF(AND(A18&lt;&gt;"",D18&lt;&gt;""),"Yes",""),IF(COUNTIF('Routine &amp; Holidays'!$M$8:$M$35,A18)&gt;0,"No",IF(D18="BECM 3204",IF(H18=Dashboard!$C$5,"Yes","No"),IF(D18="BECM 3208",IF(H18=Dashboard!$C$6,"Yes","No"),IF(D18="CE 3224",IF(H18=Dashboard!$C$7,"Yes","No"),IF(D18="BECM 3200",IF(Dashboard!$C$8="Every Week","Yes",IF(Dashboard!$C$8="Odd Weeks",IF(MOD(C18,2)=1,"Yes","No"),IF(MOD(C18,2)=0,"Yes","No"))),"Yes"))))))</x:f>
        <x:v>Yes</x:v>
      </x:c>
      <x:c r="J18" s="601"/>
      <x:c r="K18" s="601" t="str">
        <x:v>None</x:v>
      </x:c>
      <x:c r="L18" s="601"/>
      <x:c r="M18" s="601"/>
      <x:c r="N18" s="601"/>
      <x:c r="O18" s="602"/>
    </x:row>
    <x:row r="19">
      <x:c r="A19" s="580" t="n">
        <x:v>46274</x:v>
      </x:c>
      <x:c r="B19" s="581" t="str">
        <x:v>Wed</x:v>
      </x:c>
      <x:c r="C19" s="581" t="n">
        <x:v>1</x:v>
      </x:c>
      <x:c r="D19" s="581" t="str">
        <x:v>BECM 3208</x:v>
      </x:c>
      <x:c r="E19" s="581" t="str">
        <x:v>Regular</x:v>
      </x:c>
      <x:c r="F19" s="601" t="str">
        <x:v>MSH/MSA</x:v>
      </x:c>
      <x:c r="G19" s="601" t="str">
        <x:v>7-9 • 02:30 PM–05:00 PM • Room 501</x:v>
      </x:c>
      <x:c r="H19" s="601" t="str">
        <x:v>Wed PM</x:v>
      </x:c>
      <x:c r="I19" s="601" t="str">
        <x:f>IF(E19="Extra",IF(AND(A19&lt;&gt;"",D19&lt;&gt;""),"Yes",""),IF(COUNTIF('Routine &amp; Holidays'!$M$8:$M$35,A19)&gt;0,"No",IF(D19="BECM 3204",IF(H19=Dashboard!$C$5,"Yes","No"),IF(D19="BECM 3208",IF(H19=Dashboard!$C$6,"Yes","No"),IF(D19="CE 3224",IF(H19=Dashboard!$C$7,"Yes","No"),IF(D19="BECM 3200",IF(Dashboard!$C$8="Every Week","Yes",IF(Dashboard!$C$8="Odd Weeks",IF(MOD(C19,2)=1,"Yes","No"),IF(MOD(C19,2)=0,"Yes","No"))),"Yes"))))))</x:f>
        <x:v>No</x:v>
      </x:c>
      <x:c r="J19" s="601"/>
      <x:c r="K19" s="601" t="str">
        <x:v>None</x:v>
      </x:c>
      <x:c r="L19" s="601"/>
      <x:c r="M19" s="601"/>
      <x:c r="N19" s="601"/>
      <x:c r="O19" s="602"/>
    </x:row>
    <x:row r="20">
      <x:c r="A20" s="580" t="n">
        <x:v>46274</x:v>
      </x:c>
      <x:c r="B20" s="581" t="str">
        <x:v>Wed</x:v>
      </x:c>
      <x:c r="C20" s="581" t="n">
        <x:v>1</x:v>
      </x:c>
      <x:c r="D20" s="581" t="str">
        <x:v>CE 3213</x:v>
      </x:c>
      <x:c r="E20" s="581" t="str">
        <x:v>Regular</x:v>
      </x:c>
      <x:c r="F20" s="601" t="str">
        <x:v>HRS/MKI</x:v>
      </x:c>
      <x:c r="G20" s="601" t="str">
        <x:v>3rd • 09:40 AM–10:30 AM • Room 501</x:v>
      </x:c>
      <x:c r="H20" s="601" t="str">
        <x:v>WED P3</x:v>
      </x:c>
      <x:c r="I20" s="601" t="str">
        <x:f>IF(E20="Extra",IF(AND(A20&lt;&gt;"",D20&lt;&gt;""),"Yes",""),IF(COUNTIF('Routine &amp; Holidays'!$M$8:$M$35,A20)&gt;0,"No",IF(D20="BECM 3204",IF(H20=Dashboard!$C$5,"Yes","No"),IF(D20="BECM 3208",IF(H20=Dashboard!$C$6,"Yes","No"),IF(D20="CE 3224",IF(H20=Dashboard!$C$7,"Yes","No"),IF(D20="BECM 3200",IF(Dashboard!$C$8="Every Week","Yes",IF(Dashboard!$C$8="Odd Weeks",IF(MOD(C20,2)=1,"Yes","No"),IF(MOD(C20,2)=0,"Yes","No"))),"Yes"))))))</x:f>
        <x:v>Yes</x:v>
      </x:c>
      <x:c r="J20" s="601"/>
      <x:c r="K20" s="601" t="str">
        <x:v>None</x:v>
      </x:c>
      <x:c r="L20" s="601"/>
      <x:c r="M20" s="601"/>
      <x:c r="N20" s="601"/>
      <x:c r="O20" s="602"/>
    </x:row>
    <x:row r="21">
      <x:c r="A21" s="580" t="n">
        <x:v>46274</x:v>
      </x:c>
      <x:c r="B21" s="581" t="str">
        <x:v>Wed</x:v>
      </x:c>
      <x:c r="C21" s="581" t="n">
        <x:v>1</x:v>
      </x:c>
      <x:c r="D21" s="581" t="str">
        <x:v>CE 3211</x:v>
      </x:c>
      <x:c r="E21" s="581" t="str">
        <x:v>Regular</x:v>
      </x:c>
      <x:c r="F21" s="601" t="str">
        <x:v>ATB</x:v>
      </x:c>
      <x:c r="G21" s="601" t="str">
        <x:v>4th • 10:40 AM–11:30 AM • Room 501</x:v>
      </x:c>
      <x:c r="H21" s="601" t="str">
        <x:v>WED P4</x:v>
      </x:c>
      <x:c r="I21" s="601" t="str">
        <x:f>IF(E21="Extra",IF(AND(A21&lt;&gt;"",D21&lt;&gt;""),"Yes",""),IF(COUNTIF('Routine &amp; Holidays'!$M$8:$M$35,A21)&gt;0,"No",IF(D21="BECM 3204",IF(H21=Dashboard!$C$5,"Yes","No"),IF(D21="BECM 3208",IF(H21=Dashboard!$C$6,"Yes","No"),IF(D21="CE 3224",IF(H21=Dashboard!$C$7,"Yes","No"),IF(D21="BECM 3200",IF(Dashboard!$C$8="Every Week","Yes",IF(Dashboard!$C$8="Odd Weeks",IF(MOD(C21,2)=1,"Yes","No"),IF(MOD(C21,2)=0,"Yes","No"))),"Yes"))))))</x:f>
        <x:v>Yes</x:v>
      </x:c>
      <x:c r="J21" s="601"/>
      <x:c r="K21" s="601" t="str">
        <x:v>None</x:v>
      </x:c>
      <x:c r="L21" s="601"/>
      <x:c r="M21" s="601"/>
      <x:c r="N21" s="601"/>
      <x:c r="O21" s="602"/>
    </x:row>
    <x:row r="22">
      <x:c r="A22" s="580" t="n">
        <x:v>46274</x:v>
      </x:c>
      <x:c r="B22" s="581" t="str">
        <x:v>Wed</x:v>
      </x:c>
      <x:c r="C22" s="581" t="n">
        <x:v>1</x:v>
      </x:c>
      <x:c r="D22" s="581" t="str">
        <x:v>CE 3223</x:v>
      </x:c>
      <x:c r="E22" s="581" t="str">
        <x:v>Regular</x:v>
      </x:c>
      <x:c r="F22" s="601" t="str">
        <x:v>MHI</x:v>
      </x:c>
      <x:c r="G22" s="601" t="str">
        <x:v>5th • 11:30 AM–12:20 PM • Room 501</x:v>
      </x:c>
      <x:c r="H22" s="601" t="str">
        <x:v>WED P5</x:v>
      </x:c>
      <x:c r="I22" s="601" t="str">
        <x:f>IF(E22="Extra",IF(AND(A22&lt;&gt;"",D22&lt;&gt;""),"Yes",""),IF(COUNTIF('Routine &amp; Holidays'!$M$8:$M$35,A22)&gt;0,"No",IF(D22="BECM 3204",IF(H22=Dashboard!$C$5,"Yes","No"),IF(D22="BECM 3208",IF(H22=Dashboard!$C$6,"Yes","No"),IF(D22="CE 3224",IF(H22=Dashboard!$C$7,"Yes","No"),IF(D22="BECM 3200",IF(Dashboard!$C$8="Every Week","Yes",IF(Dashboard!$C$8="Odd Weeks",IF(MOD(C22,2)=1,"Yes","No"),IF(MOD(C22,2)=0,"Yes","No"))),"Yes"))))))</x:f>
        <x:v>Yes</x:v>
      </x:c>
      <x:c r="J22" s="601"/>
      <x:c r="K22" s="601" t="str">
        <x:v>None</x:v>
      </x:c>
      <x:c r="L22" s="601"/>
      <x:c r="M22" s="601"/>
      <x:c r="N22" s="601"/>
      <x:c r="O22" s="602"/>
    </x:row>
    <x:row r="23">
      <x:c r="A23" s="580" t="n">
        <x:v>46274</x:v>
      </x:c>
      <x:c r="B23" s="581" t="str">
        <x:v>Wed</x:v>
      </x:c>
      <x:c r="C23" s="581" t="n">
        <x:v>1</x:v>
      </x:c>
      <x:c r="D23" s="581" t="str">
        <x:v>BECM 3205</x:v>
      </x:c>
      <x:c r="E23" s="581" t="str">
        <x:v>Regular</x:v>
      </x:c>
      <x:c r="F23" s="601" t="str">
        <x:v>MSH/AAM</x:v>
      </x:c>
      <x:c r="G23" s="601" t="str">
        <x:v>6th • 12:20 PM–01:10 PM • Room 501</x:v>
      </x:c>
      <x:c r="H23" s="601" t="str">
        <x:v>WED P6</x:v>
      </x:c>
      <x:c r="I23" s="601" t="str">
        <x:f>IF(E23="Extra",IF(AND(A23&lt;&gt;"",D23&lt;&gt;""),"Yes",""),IF(COUNTIF('Routine &amp; Holidays'!$M$8:$M$35,A23)&gt;0,"No",IF(D23="BECM 3204",IF(H23=Dashboard!$C$5,"Yes","No"),IF(D23="BECM 3208",IF(H23=Dashboard!$C$6,"Yes","No"),IF(D23="CE 3224",IF(H23=Dashboard!$C$7,"Yes","No"),IF(D23="BECM 3200",IF(Dashboard!$C$8="Every Week","Yes",IF(Dashboard!$C$8="Odd Weeks",IF(MOD(C23,2)=1,"Yes","No"),IF(MOD(C23,2)=0,"Yes","No"))),"Yes"))))))</x:f>
        <x:v>Yes</x:v>
      </x:c>
      <x:c r="J23" s="601"/>
      <x:c r="K23" s="601" t="str">
        <x:v>None</x:v>
      </x:c>
      <x:c r="L23" s="601"/>
      <x:c r="M23" s="601"/>
      <x:c r="N23" s="601"/>
      <x:c r="O23" s="602"/>
    </x:row>
    <x:row r="24">
      <x:c r="A24" s="580" t="n">
        <x:v>46275</x:v>
      </x:c>
      <x:c r="B24" s="581" t="str">
        <x:v>Thurs</x:v>
      </x:c>
      <x:c r="C24" s="581" t="n">
        <x:v>1</x:v>
      </x:c>
      <x:c r="D24" s="581" t="str">
        <x:v>CE 3224</x:v>
      </x:c>
      <x:c r="E24" s="581" t="str">
        <x:v>Regular</x:v>
      </x:c>
      <x:c r="F24" s="601" t="str">
        <x:v>MHI/MRA</x:v>
      </x:c>
      <x:c r="G24" s="601" t="str">
        <x:v>7-9 • 02:30 PM–05:00 PM • Room 405</x:v>
      </x:c>
      <x:c r="H24" s="601" t="str">
        <x:v>Thu PM</x:v>
      </x:c>
      <x:c r="I24" s="601" t="str">
        <x:f>IF(E24="Extra",IF(AND(A24&lt;&gt;"",D24&lt;&gt;""),"Yes",""),IF(COUNTIF('Routine &amp; Holidays'!$M$8:$M$35,A24)&gt;0,"No",IF(D24="BECM 3204",IF(H24=Dashboard!$C$5,"Yes","No"),IF(D24="BECM 3208",IF(H24=Dashboard!$C$6,"Yes","No"),IF(D24="CE 3224",IF(H24=Dashboard!$C$7,"Yes","No"),IF(D24="BECM 3200",IF(Dashboard!$C$8="Every Week","Yes",IF(Dashboard!$C$8="Odd Weeks",IF(MOD(C24,2)=1,"Yes","No"),IF(MOD(C24,2)=0,"Yes","No"))),"Yes"))))))</x:f>
        <x:v>No</x:v>
      </x:c>
      <x:c r="J24" s="601"/>
      <x:c r="K24" s="601" t="str">
        <x:v>None</x:v>
      </x:c>
      <x:c r="L24" s="601"/>
      <x:c r="M24" s="601"/>
      <x:c r="N24" s="601"/>
      <x:c r="O24" s="602"/>
    </x:row>
    <x:row r="25">
      <x:c r="A25" s="580" t="n">
        <x:v>46275</x:v>
      </x:c>
      <x:c r="B25" s="581" t="str">
        <x:v>Thurs</x:v>
      </x:c>
      <x:c r="C25" s="581" t="n">
        <x:v>1</x:v>
      </x:c>
      <x:c r="D25" s="581" t="str">
        <x:v>BECM 3204</x:v>
      </x:c>
      <x:c r="E25" s="581" t="str">
        <x:v>Regular</x:v>
      </x:c>
      <x:c r="F25" s="601" t="str">
        <x:v>HRS/MR</x:v>
      </x:c>
      <x:c r="G25" s="601" t="str">
        <x:v>1-3 • 08:00 AM–10:30 AM</x:v>
      </x:c>
      <x:c r="H25" s="601" t="str">
        <x:v>Thu AM</x:v>
      </x:c>
      <x:c r="I25" s="601" t="str">
        <x:f>IF(E25="Extra",IF(AND(A25&lt;&gt;"",D25&lt;&gt;""),"Yes",""),IF(COUNTIF('Routine &amp; Holidays'!$M$8:$M$35,A25)&gt;0,"No",IF(D25="BECM 3204",IF(H25=Dashboard!$C$5,"Yes","No"),IF(D25="BECM 3208",IF(H25=Dashboard!$C$6,"Yes","No"),IF(D25="CE 3224",IF(H25=Dashboard!$C$7,"Yes","No"),IF(D25="BECM 3200",IF(Dashboard!$C$8="Every Week","Yes",IF(Dashboard!$C$8="Odd Weeks",IF(MOD(C25,2)=1,"Yes","No"),IF(MOD(C25,2)=0,"Yes","No"))),"Yes"))))))</x:f>
        <x:v>No</x:v>
      </x:c>
      <x:c r="J25" s="601"/>
      <x:c r="K25" s="601" t="str">
        <x:v>None</x:v>
      </x:c>
      <x:c r="L25" s="601"/>
      <x:c r="M25" s="601"/>
      <x:c r="N25" s="601"/>
      <x:c r="O25" s="602"/>
    </x:row>
    <x:row r="26">
      <x:c r="A26" s="580" t="n">
        <x:v>46275</x:v>
      </x:c>
      <x:c r="B26" s="581" t="str">
        <x:v>Thurs</x:v>
      </x:c>
      <x:c r="C26" s="581" t="n">
        <x:v>1</x:v>
      </x:c>
      <x:c r="D26" s="581" t="str">
        <x:v>BECM 3205</x:v>
      </x:c>
      <x:c r="E26" s="581" t="str">
        <x:v>Regular</x:v>
      </x:c>
      <x:c r="F26" s="601" t="str">
        <x:v>MSH</x:v>
      </x:c>
      <x:c r="G26" s="601" t="str">
        <x:v>4th • 10:40 AM–11:30 AM • Room 406</x:v>
      </x:c>
      <x:c r="H26" s="601" t="str">
        <x:v>THURS P4</x:v>
      </x:c>
      <x:c r="I26" s="601" t="str">
        <x:f>IF(E26="Extra",IF(AND(A26&lt;&gt;"",D26&lt;&gt;""),"Yes",""),IF(COUNTIF('Routine &amp; Holidays'!$M$8:$M$35,A26)&gt;0,"No",IF(D26="BECM 3204",IF(H26=Dashboard!$C$5,"Yes","No"),IF(D26="BECM 3208",IF(H26=Dashboard!$C$6,"Yes","No"),IF(D26="CE 3224",IF(H26=Dashboard!$C$7,"Yes","No"),IF(D26="BECM 3200",IF(Dashboard!$C$8="Every Week","Yes",IF(Dashboard!$C$8="Odd Weeks",IF(MOD(C26,2)=1,"Yes","No"),IF(MOD(C26,2)=0,"Yes","No"))),"Yes"))))))</x:f>
        <x:v>Yes</x:v>
      </x:c>
      <x:c r="J26" s="601"/>
      <x:c r="K26" s="601" t="str">
        <x:v>None</x:v>
      </x:c>
      <x:c r="L26" s="601"/>
      <x:c r="M26" s="601"/>
      <x:c r="N26" s="601"/>
      <x:c r="O26" s="602"/>
    </x:row>
    <x:row r="27">
      <x:c r="A27" s="580" t="n">
        <x:v>46275</x:v>
      </x:c>
      <x:c r="B27" s="581" t="str">
        <x:v>Thurs</x:v>
      </x:c>
      <x:c r="C27" s="581" t="n">
        <x:v>1</x:v>
      </x:c>
      <x:c r="D27" s="581" t="str">
        <x:v>CE 3211</x:v>
      </x:c>
      <x:c r="E27" s="581" t="str">
        <x:v>Regular</x:v>
      </x:c>
      <x:c r="F27" s="601" t="str">
        <x:v>MKI/ATB</x:v>
      </x:c>
      <x:c r="G27" s="601" t="str">
        <x:v>5th • 11:30 AM–12:20 PM • Room 406</x:v>
      </x:c>
      <x:c r="H27" s="601" t="str">
        <x:v>THURS P5</x:v>
      </x:c>
      <x:c r="I27" s="601" t="str">
        <x:f>IF(E27="Extra",IF(AND(A27&lt;&gt;"",D27&lt;&gt;""),"Yes",""),IF(COUNTIF('Routine &amp; Holidays'!$M$8:$M$35,A27)&gt;0,"No",IF(D27="BECM 3204",IF(H27=Dashboard!$C$5,"Yes","No"),IF(D27="BECM 3208",IF(H27=Dashboard!$C$6,"Yes","No"),IF(D27="CE 3224",IF(H27=Dashboard!$C$7,"Yes","No"),IF(D27="BECM 3200",IF(Dashboard!$C$8="Every Week","Yes",IF(Dashboard!$C$8="Odd Weeks",IF(MOD(C27,2)=1,"Yes","No"),IF(MOD(C27,2)=0,"Yes","No"))),"Yes"))))))</x:f>
        <x:v>Yes</x:v>
      </x:c>
      <x:c r="J27" s="601"/>
      <x:c r="K27" s="601" t="str">
        <x:v>None</x:v>
      </x:c>
      <x:c r="L27" s="601"/>
      <x:c r="M27" s="601"/>
      <x:c r="N27" s="601"/>
      <x:c r="O27" s="602"/>
    </x:row>
    <x:row r="28">
      <x:c r="A28" s="580" t="n">
        <x:v>46275</x:v>
      </x:c>
      <x:c r="B28" s="581" t="str">
        <x:v>Thurs</x:v>
      </x:c>
      <x:c r="C28" s="581" t="n">
        <x:v>1</x:v>
      </x:c>
      <x:c r="D28" s="581" t="str">
        <x:v>BECM 3201</x:v>
      </x:c>
      <x:c r="E28" s="581" t="str">
        <x:v>Regular</x:v>
      </x:c>
      <x:c r="F28" s="601" t="str">
        <x:v>MR/MRA</x:v>
      </x:c>
      <x:c r="G28" s="601" t="str">
        <x:v>6th • 12:20 PM–01:10 PM • Room 406</x:v>
      </x:c>
      <x:c r="H28" s="601" t="str">
        <x:v>THURS P6</x:v>
      </x:c>
      <x:c r="I28" s="601" t="str">
        <x:f>IF(E28="Extra",IF(AND(A28&lt;&gt;"",D28&lt;&gt;""),"Yes",""),IF(COUNTIF('Routine &amp; Holidays'!$M$8:$M$35,A28)&gt;0,"No",IF(D28="BECM 3204",IF(H28=Dashboard!$C$5,"Yes","No"),IF(D28="BECM 3208",IF(H28=Dashboard!$C$6,"Yes","No"),IF(D28="CE 3224",IF(H28=Dashboard!$C$7,"Yes","No"),IF(D28="BECM 3200",IF(Dashboard!$C$8="Every Week","Yes",IF(Dashboard!$C$8="Odd Weeks",IF(MOD(C28,2)=1,"Yes","No"),IF(MOD(C28,2)=0,"Yes","No"))),"Yes"))))))</x:f>
        <x:v>Yes</x:v>
      </x:c>
      <x:c r="J28" s="601"/>
      <x:c r="K28" s="601" t="str">
        <x:v>None</x:v>
      </x:c>
      <x:c r="L28" s="601"/>
      <x:c r="M28" s="601"/>
      <x:c r="N28" s="601"/>
      <x:c r="O28" s="602"/>
    </x:row>
    <x:row r="29">
      <x:c r="A29" s="580" t="n">
        <x:v>46278</x:v>
      </x:c>
      <x:c r="B29" s="581" t="str">
        <x:v>Sun</x:v>
      </x:c>
      <x:c r="C29" s="581" t="n">
        <x:v>2</x:v>
      </x:c>
      <x:c r="D29" s="581" t="str">
        <x:v>BECM 3204</x:v>
      </x:c>
      <x:c r="E29" s="581" t="str">
        <x:v>Regular</x:v>
      </x:c>
      <x:c r="F29" s="601" t="str">
        <x:v>HRS/MR</x:v>
      </x:c>
      <x:c r="G29" s="601" t="str">
        <x:v>7-9 • 02:30 PM–05:00 PM • Room 404</x:v>
      </x:c>
      <x:c r="H29" s="601" t="str">
        <x:v>Sun PM</x:v>
      </x:c>
      <x:c r="I29" s="601" t="str">
        <x:f>IF(E29="Extra",IF(AND(A29&lt;&gt;"",D29&lt;&gt;""),"Yes",""),IF(COUNTIF('Routine &amp; Holidays'!$M$8:$M$35,A29)&gt;0,"No",IF(D29="BECM 3204",IF(H29=Dashboard!$C$5,"Yes","No"),IF(D29="BECM 3208",IF(H29=Dashboard!$C$6,"Yes","No"),IF(D29="CE 3224",IF(H29=Dashboard!$C$7,"Yes","No"),IF(D29="BECM 3200",IF(Dashboard!$C$8="Every Week","Yes",IF(Dashboard!$C$8="Odd Weeks",IF(MOD(C29,2)=1,"Yes","No"),IF(MOD(C29,2)=0,"Yes","No"))),"Yes"))))))</x:f>
        <x:v>Yes</x:v>
      </x:c>
      <x:c r="J29" s="601"/>
      <x:c r="K29" s="601" t="str">
        <x:v>None</x:v>
      </x:c>
      <x:c r="L29" s="601"/>
      <x:c r="M29" s="601"/>
      <x:c r="N29" s="601"/>
      <x:c r="O29" s="602"/>
    </x:row>
    <x:row r="30">
      <x:c r="A30" s="580" t="n">
        <x:v>46278</x:v>
      </x:c>
      <x:c r="B30" s="581" t="str">
        <x:v>Sun</x:v>
      </x:c>
      <x:c r="C30" s="581" t="n">
        <x:v>2</x:v>
      </x:c>
      <x:c r="D30" s="581" t="str">
        <x:v>CE 3213</x:v>
      </x:c>
      <x:c r="E30" s="581" t="str">
        <x:v>Regular</x:v>
      </x:c>
      <x:c r="F30" s="601" t="str">
        <x:v>HRS</x:v>
      </x:c>
      <x:c r="G30" s="601" t="str">
        <x:v>4th • 10:40 AM–11:30 AM • Room 501</x:v>
      </x:c>
      <x:c r="H30" s="601" t="str">
        <x:v>SUN P4</x:v>
      </x:c>
      <x:c r="I30" s="601" t="str">
        <x:f>IF(E30="Extra",IF(AND(A30&lt;&gt;"",D30&lt;&gt;""),"Yes",""),IF(COUNTIF('Routine &amp; Holidays'!$M$8:$M$35,A30)&gt;0,"No",IF(D30="BECM 3204",IF(H30=Dashboard!$C$5,"Yes","No"),IF(D30="BECM 3208",IF(H30=Dashboard!$C$6,"Yes","No"),IF(D30="CE 3224",IF(H30=Dashboard!$C$7,"Yes","No"),IF(D30="BECM 3200",IF(Dashboard!$C$8="Every Week","Yes",IF(Dashboard!$C$8="Odd Weeks",IF(MOD(C30,2)=1,"Yes","No"),IF(MOD(C30,2)=0,"Yes","No"))),"Yes"))))))</x:f>
        <x:v>Yes</x:v>
      </x:c>
      <x:c r="J30" s="601"/>
      <x:c r="K30" s="601" t="str">
        <x:v>None</x:v>
      </x:c>
      <x:c r="L30" s="601"/>
      <x:c r="M30" s="601"/>
      <x:c r="N30" s="601"/>
      <x:c r="O30" s="602"/>
    </x:row>
    <x:row r="31">
      <x:c r="A31" s="580" t="n">
        <x:v>46278</x:v>
      </x:c>
      <x:c r="B31" s="581" t="str">
        <x:v>Sun</x:v>
      </x:c>
      <x:c r="C31" s="581" t="n">
        <x:v>2</x:v>
      </x:c>
      <x:c r="D31" s="581" t="str">
        <x:v>CE 3223</x:v>
      </x:c>
      <x:c r="E31" s="581" t="str">
        <x:v>Regular</x:v>
      </x:c>
      <x:c r="F31" s="601" t="str">
        <x:v>MSA</x:v>
      </x:c>
      <x:c r="G31" s="601" t="str">
        <x:v>5th • 11:30 AM–12:20 PM • Room 501</x:v>
      </x:c>
      <x:c r="H31" s="601" t="str">
        <x:v>SUN P5</x:v>
      </x:c>
      <x:c r="I31" s="601" t="str">
        <x:f>IF(E31="Extra",IF(AND(A31&lt;&gt;"",D31&lt;&gt;""),"Yes",""),IF(COUNTIF('Routine &amp; Holidays'!$M$8:$M$35,A31)&gt;0,"No",IF(D31="BECM 3204",IF(H31=Dashboard!$C$5,"Yes","No"),IF(D31="BECM 3208",IF(H31=Dashboard!$C$6,"Yes","No"),IF(D31="CE 3224",IF(H31=Dashboard!$C$7,"Yes","No"),IF(D31="BECM 3200",IF(Dashboard!$C$8="Every Week","Yes",IF(Dashboard!$C$8="Odd Weeks",IF(MOD(C31,2)=1,"Yes","No"),IF(MOD(C31,2)=0,"Yes","No"))),"Yes"))))))</x:f>
        <x:v>Yes</x:v>
      </x:c>
      <x:c r="J31" s="601"/>
      <x:c r="K31" s="601" t="str">
        <x:v>None</x:v>
      </x:c>
      <x:c r="L31" s="601"/>
      <x:c r="M31" s="601"/>
      <x:c r="N31" s="601"/>
      <x:c r="O31" s="602"/>
    </x:row>
    <x:row r="32">
      <x:c r="A32" s="580" t="n">
        <x:v>46278</x:v>
      </x:c>
      <x:c r="B32" s="581" t="str">
        <x:v>Sun</x:v>
      </x:c>
      <x:c r="C32" s="581" t="n">
        <x:v>2</x:v>
      </x:c>
      <x:c r="D32" s="581" t="str">
        <x:v>CE 3211</x:v>
      </x:c>
      <x:c r="E32" s="581" t="str">
        <x:v>Regular</x:v>
      </x:c>
      <x:c r="F32" s="601" t="str">
        <x:v>MKI</x:v>
      </x:c>
      <x:c r="G32" s="601" t="str">
        <x:v>6th • 12:20 PM–01:10 PM • Room 501</x:v>
      </x:c>
      <x:c r="H32" s="601" t="str">
        <x:v>SUN P6</x:v>
      </x:c>
      <x:c r="I32" s="601" t="str">
        <x:f>IF(E32="Extra",IF(AND(A32&lt;&gt;"",D32&lt;&gt;""),"Yes",""),IF(COUNTIF('Routine &amp; Holidays'!$M$8:$M$35,A32)&gt;0,"No",IF(D32="BECM 3204",IF(H32=Dashboard!$C$5,"Yes","No"),IF(D32="BECM 3208",IF(H32=Dashboard!$C$6,"Yes","No"),IF(D32="CE 3224",IF(H32=Dashboard!$C$7,"Yes","No"),IF(D32="BECM 3200",IF(Dashboard!$C$8="Every Week","Yes",IF(Dashboard!$C$8="Odd Weeks",IF(MOD(C32,2)=1,"Yes","No"),IF(MOD(C32,2)=0,"Yes","No"))),"Yes"))))))</x:f>
        <x:v>Yes</x:v>
      </x:c>
      <x:c r="J32" s="601"/>
      <x:c r="K32" s="601" t="str">
        <x:v>None</x:v>
      </x:c>
      <x:c r="L32" s="601"/>
      <x:c r="M32" s="601"/>
      <x:c r="N32" s="601"/>
      <x:c r="O32" s="602"/>
    </x:row>
    <x:row r="33">
      <x:c r="A33" s="580" t="n">
        <x:v>46279</x:v>
      </x:c>
      <x:c r="B33" s="581" t="str">
        <x:v>Mon</x:v>
      </x:c>
      <x:c r="C33" s="581" t="n">
        <x:v>2</x:v>
      </x:c>
      <x:c r="D33" s="581" t="str">
        <x:v>BECM 3200</x:v>
      </x:c>
      <x:c r="E33" s="581" t="str">
        <x:v>Regular</x:v>
      </x:c>
      <x:c r="F33" s="601" t="str">
        <x:v>ALL</x:v>
      </x:c>
      <x:c r="G33" s="601" t="str">
        <x:v>7-9 • 02:30 PM–05:00 PM</x:v>
      </x:c>
      <x:c r="H33" s="601" t="str">
        <x:v>Mon PM</x:v>
      </x:c>
      <x:c r="I33" s="601" t="str">
        <x:f>IF(E33="Extra",IF(AND(A33&lt;&gt;"",D33&lt;&gt;""),"Yes",""),IF(COUNTIF('Routine &amp; Holidays'!$M$8:$M$35,A33)&gt;0,"No",IF(D33="BECM 3204",IF(H33=Dashboard!$C$5,"Yes","No"),IF(D33="BECM 3208",IF(H33=Dashboard!$C$6,"Yes","No"),IF(D33="CE 3224",IF(H33=Dashboard!$C$7,"Yes","No"),IF(D33="BECM 3200",IF(Dashboard!$C$8="Every Week","Yes",IF(Dashboard!$C$8="Odd Weeks",IF(MOD(C33,2)=1,"Yes","No"),IF(MOD(C33,2)=0,"Yes","No"))),"Yes"))))))</x:f>
        <x:v>No</x:v>
      </x:c>
      <x:c r="J33" s="601"/>
      <x:c r="K33" s="601" t="str">
        <x:v>None</x:v>
      </x:c>
      <x:c r="L33" s="601"/>
      <x:c r="M33" s="601"/>
      <x:c r="N33" s="601"/>
      <x:c r="O33" s="602"/>
    </x:row>
    <x:row r="34">
      <x:c r="A34" s="580" t="n">
        <x:v>46279</x:v>
      </x:c>
      <x:c r="B34" s="581" t="str">
        <x:v>Mon</x:v>
      </x:c>
      <x:c r="C34" s="581" t="n">
        <x:v>2</x:v>
      </x:c>
      <x:c r="D34" s="581" t="str">
        <x:v>CE 3223</x:v>
      </x:c>
      <x:c r="E34" s="581" t="str">
        <x:v>Regular</x:v>
      </x:c>
      <x:c r="F34" s="601" t="str">
        <x:v>MHI/MSA</x:v>
      </x:c>
      <x:c r="G34" s="601" t="str">
        <x:v>3rd • 09:40 AM–10:30 AM • Room 404</x:v>
      </x:c>
      <x:c r="H34" s="601" t="str">
        <x:v>MON P3</x:v>
      </x:c>
      <x:c r="I34" s="601" t="str">
        <x:f>IF(E34="Extra",IF(AND(A34&lt;&gt;"",D34&lt;&gt;""),"Yes",""),IF(COUNTIF('Routine &amp; Holidays'!$M$8:$M$35,A34)&gt;0,"No",IF(D34="BECM 3204",IF(H34=Dashboard!$C$5,"Yes","No"),IF(D34="BECM 3208",IF(H34=Dashboard!$C$6,"Yes","No"),IF(D34="CE 3224",IF(H34=Dashboard!$C$7,"Yes","No"),IF(D34="BECM 3200",IF(Dashboard!$C$8="Every Week","Yes",IF(Dashboard!$C$8="Odd Weeks",IF(MOD(C34,2)=1,"Yes","No"),IF(MOD(C34,2)=0,"Yes","No"))),"Yes"))))))</x:f>
        <x:v>Yes</x:v>
      </x:c>
      <x:c r="J34" s="601"/>
      <x:c r="K34" s="601" t="str">
        <x:v>None</x:v>
      </x:c>
      <x:c r="L34" s="601"/>
      <x:c r="M34" s="601"/>
      <x:c r="N34" s="601"/>
      <x:c r="O34" s="602"/>
    </x:row>
    <x:row r="35">
      <x:c r="A35" s="580" t="n">
        <x:v>46279</x:v>
      </x:c>
      <x:c r="B35" s="581" t="str">
        <x:v>Mon</x:v>
      </x:c>
      <x:c r="C35" s="581" t="n">
        <x:v>2</x:v>
      </x:c>
      <x:c r="D35" s="581" t="str">
        <x:v>BECM 3201</x:v>
      </x:c>
      <x:c r="E35" s="581" t="str">
        <x:v>Regular</x:v>
      </x:c>
      <x:c r="F35" s="601" t="str">
        <x:v>MR</x:v>
      </x:c>
      <x:c r="G35" s="601" t="str">
        <x:v>5th • 11:30 AM–12:20 PM • Room 405</x:v>
      </x:c>
      <x:c r="H35" s="601" t="str">
        <x:v>MON P5</x:v>
      </x:c>
      <x:c r="I35" s="601" t="str">
        <x:f>IF(E35="Extra",IF(AND(A35&lt;&gt;"",D35&lt;&gt;""),"Yes",""),IF(COUNTIF('Routine &amp; Holidays'!$M$8:$M$35,A35)&gt;0,"No",IF(D35="BECM 3204",IF(H35=Dashboard!$C$5,"Yes","No"),IF(D35="BECM 3208",IF(H35=Dashboard!$C$6,"Yes","No"),IF(D35="CE 3224",IF(H35=Dashboard!$C$7,"Yes","No"),IF(D35="BECM 3200",IF(Dashboard!$C$8="Every Week","Yes",IF(Dashboard!$C$8="Odd Weeks",IF(MOD(C35,2)=1,"Yes","No"),IF(MOD(C35,2)=0,"Yes","No"))),"Yes"))))))</x:f>
        <x:v>Yes</x:v>
      </x:c>
      <x:c r="J35" s="601"/>
      <x:c r="K35" s="601" t="str">
        <x:v>None</x:v>
      </x:c>
      <x:c r="L35" s="601"/>
      <x:c r="M35" s="601"/>
      <x:c r="N35" s="601"/>
      <x:c r="O35" s="602"/>
    </x:row>
    <x:row r="36">
      <x:c r="A36" s="580" t="n">
        <x:v>46279</x:v>
      </x:c>
      <x:c r="B36" s="581" t="str">
        <x:v>Mon</x:v>
      </x:c>
      <x:c r="C36" s="581" t="n">
        <x:v>2</x:v>
      </x:c>
      <x:c r="D36" s="581" t="str">
        <x:v>BECM 3205</x:v>
      </x:c>
      <x:c r="E36" s="581" t="str">
        <x:v>Regular</x:v>
      </x:c>
      <x:c r="F36" s="601" t="str">
        <x:v>AAM</x:v>
      </x:c>
      <x:c r="G36" s="601" t="str">
        <x:v>6th • 12:20 PM–01:10 PM • Room 405</x:v>
      </x:c>
      <x:c r="H36" s="601" t="str">
        <x:v>MON P6</x:v>
      </x:c>
      <x:c r="I36" s="601" t="str">
        <x:f>IF(E36="Extra",IF(AND(A36&lt;&gt;"",D36&lt;&gt;""),"Yes",""),IF(COUNTIF('Routine &amp; Holidays'!$M$8:$M$35,A36)&gt;0,"No",IF(D36="BECM 3204",IF(H36=Dashboard!$C$5,"Yes","No"),IF(D36="BECM 3208",IF(H36=Dashboard!$C$6,"Yes","No"),IF(D36="CE 3224",IF(H36=Dashboard!$C$7,"Yes","No"),IF(D36="BECM 3200",IF(Dashboard!$C$8="Every Week","Yes",IF(Dashboard!$C$8="Odd Weeks",IF(MOD(C36,2)=1,"Yes","No"),IF(MOD(C36,2)=0,"Yes","No"))),"Yes"))))))</x:f>
        <x:v>Yes</x:v>
      </x:c>
      <x:c r="J36" s="601"/>
      <x:c r="K36" s="601" t="str">
        <x:v>None</x:v>
      </x:c>
      <x:c r="L36" s="601"/>
      <x:c r="M36" s="601"/>
      <x:c r="N36" s="601"/>
      <x:c r="O36" s="602"/>
    </x:row>
    <x:row r="37">
      <x:c r="A37" s="580" t="n">
        <x:v>46280</x:v>
      </x:c>
      <x:c r="B37" s="581" t="str">
        <x:v>Tues</x:v>
      </x:c>
      <x:c r="C37" s="581" t="n">
        <x:v>2</x:v>
      </x:c>
      <x:c r="D37" s="581" t="str">
        <x:v>BECM 3208</x:v>
      </x:c>
      <x:c r="E37" s="581" t="str">
        <x:v>Regular</x:v>
      </x:c>
      <x:c r="F37" s="601" t="str">
        <x:v>MSH/MSA</x:v>
      </x:c>
      <x:c r="G37" s="601" t="str">
        <x:v>7-9 • 02:30 PM–05:00 PM</x:v>
      </x:c>
      <x:c r="H37" s="601" t="str">
        <x:v>Tue PM</x:v>
      </x:c>
      <x:c r="I37" s="601" t="str">
        <x:f>IF(E37="Extra",IF(AND(A37&lt;&gt;"",D37&lt;&gt;""),"Yes",""),IF(COUNTIF('Routine &amp; Holidays'!$M$8:$M$35,A37)&gt;0,"No",IF(D37="BECM 3204",IF(H37=Dashboard!$C$5,"Yes","No"),IF(D37="BECM 3208",IF(H37=Dashboard!$C$6,"Yes","No"),IF(D37="CE 3224",IF(H37=Dashboard!$C$7,"Yes","No"),IF(D37="BECM 3200",IF(Dashboard!$C$8="Every Week","Yes",IF(Dashboard!$C$8="Odd Weeks",IF(MOD(C37,2)=1,"Yes","No"),IF(MOD(C37,2)=0,"Yes","No"))),"Yes"))))))</x:f>
        <x:v>Yes</x:v>
      </x:c>
      <x:c r="J37" s="601"/>
      <x:c r="K37" s="601" t="str">
        <x:v>None</x:v>
      </x:c>
      <x:c r="L37" s="601"/>
      <x:c r="M37" s="601"/>
      <x:c r="N37" s="601"/>
      <x:c r="O37" s="602"/>
    </x:row>
    <x:row r="38">
      <x:c r="A38" s="580" t="n">
        <x:v>46280</x:v>
      </x:c>
      <x:c r="B38" s="581" t="str">
        <x:v>Tues</x:v>
      </x:c>
      <x:c r="C38" s="581" t="n">
        <x:v>2</x:v>
      </x:c>
      <x:c r="D38" s="581" t="str">
        <x:v>CE 3224</x:v>
      </x:c>
      <x:c r="E38" s="581" t="str">
        <x:v>Regular</x:v>
      </x:c>
      <x:c r="F38" s="601" t="str">
        <x:v>MHI/MRA</x:v>
      </x:c>
      <x:c r="G38" s="601" t="str">
        <x:v>1-3 • 08:00 AM–10:30 AM</x:v>
      </x:c>
      <x:c r="H38" s="601" t="str">
        <x:v>Tue AM</x:v>
      </x:c>
      <x:c r="I38" s="601" t="str">
        <x:f>IF(E38="Extra",IF(AND(A38&lt;&gt;"",D38&lt;&gt;""),"Yes",""),IF(COUNTIF('Routine &amp; Holidays'!$M$8:$M$35,A38)&gt;0,"No",IF(D38="BECM 3204",IF(H38=Dashboard!$C$5,"Yes","No"),IF(D38="BECM 3208",IF(H38=Dashboard!$C$6,"Yes","No"),IF(D38="CE 3224",IF(H38=Dashboard!$C$7,"Yes","No"),IF(D38="BECM 3200",IF(Dashboard!$C$8="Every Week","Yes",IF(Dashboard!$C$8="Odd Weeks",IF(MOD(C38,2)=1,"Yes","No"),IF(MOD(C38,2)=0,"Yes","No"))),"Yes"))))))</x:f>
        <x:v>Yes</x:v>
      </x:c>
      <x:c r="J38" s="601"/>
      <x:c r="K38" s="601" t="str">
        <x:v>None</x:v>
      </x:c>
      <x:c r="L38" s="601"/>
      <x:c r="M38" s="601"/>
      <x:c r="N38" s="601"/>
      <x:c r="O38" s="602"/>
    </x:row>
    <x:row r="39">
      <x:c r="A39" s="580" t="n">
        <x:v>46280</x:v>
      </x:c>
      <x:c r="B39" s="581" t="str">
        <x:v>Tues</x:v>
      </x:c>
      <x:c r="C39" s="581" t="n">
        <x:v>2</x:v>
      </x:c>
      <x:c r="D39" s="581" t="str">
        <x:v>CE 3213</x:v>
      </x:c>
      <x:c r="E39" s="581" t="str">
        <x:v>Regular</x:v>
      </x:c>
      <x:c r="F39" s="601" t="str">
        <x:v>MKI</x:v>
      </x:c>
      <x:c r="G39" s="601" t="str">
        <x:v>5th • 11:30 AM–12:20 PM • Room 405</x:v>
      </x:c>
      <x:c r="H39" s="601" t="str">
        <x:v>TUES P5</x:v>
      </x:c>
      <x:c r="I39" s="601" t="str">
        <x:f>IF(E39="Extra",IF(AND(A39&lt;&gt;"",D39&lt;&gt;""),"Yes",""),IF(COUNTIF('Routine &amp; Holidays'!$M$8:$M$35,A39)&gt;0,"No",IF(D39="BECM 3204",IF(H39=Dashboard!$C$5,"Yes","No"),IF(D39="BECM 3208",IF(H39=Dashboard!$C$6,"Yes","No"),IF(D39="CE 3224",IF(H39=Dashboard!$C$7,"Yes","No"),IF(D39="BECM 3200",IF(Dashboard!$C$8="Every Week","Yes",IF(Dashboard!$C$8="Odd Weeks",IF(MOD(C39,2)=1,"Yes","No"),IF(MOD(C39,2)=0,"Yes","No"))),"Yes"))))))</x:f>
        <x:v>Yes</x:v>
      </x:c>
      <x:c r="J39" s="601"/>
      <x:c r="K39" s="601" t="str">
        <x:v>None</x:v>
      </x:c>
      <x:c r="L39" s="601"/>
      <x:c r="M39" s="601"/>
      <x:c r="N39" s="601"/>
      <x:c r="O39" s="602"/>
    </x:row>
    <x:row r="40">
      <x:c r="A40" s="580" t="n">
        <x:v>46280</x:v>
      </x:c>
      <x:c r="B40" s="581" t="str">
        <x:v>Tues</x:v>
      </x:c>
      <x:c r="C40" s="581" t="n">
        <x:v>2</x:v>
      </x:c>
      <x:c r="D40" s="581" t="str">
        <x:v>BECM 3201</x:v>
      </x:c>
      <x:c r="E40" s="581" t="str">
        <x:v>Regular</x:v>
      </x:c>
      <x:c r="F40" s="601" t="str">
        <x:v>MRA</x:v>
      </x:c>
      <x:c r="G40" s="601" t="str">
        <x:v>6th • 12:20 PM–01:10 PM • Room 405</x:v>
      </x:c>
      <x:c r="H40" s="601" t="str">
        <x:v>TUES P6</x:v>
      </x:c>
      <x:c r="I40" s="601" t="str">
        <x:f>IF(E40="Extra",IF(AND(A40&lt;&gt;"",D40&lt;&gt;""),"Yes",""),IF(COUNTIF('Routine &amp; Holidays'!$M$8:$M$35,A40)&gt;0,"No",IF(D40="BECM 3204",IF(H40=Dashboard!$C$5,"Yes","No"),IF(D40="BECM 3208",IF(H40=Dashboard!$C$6,"Yes","No"),IF(D40="CE 3224",IF(H40=Dashboard!$C$7,"Yes","No"),IF(D40="BECM 3200",IF(Dashboard!$C$8="Every Week","Yes",IF(Dashboard!$C$8="Odd Weeks",IF(MOD(C40,2)=1,"Yes","No"),IF(MOD(C40,2)=0,"Yes","No"))),"Yes"))))))</x:f>
        <x:v>Yes</x:v>
      </x:c>
      <x:c r="J40" s="601"/>
      <x:c r="K40" s="601" t="str">
        <x:v>None</x:v>
      </x:c>
      <x:c r="L40" s="601"/>
      <x:c r="M40" s="601"/>
      <x:c r="N40" s="601"/>
      <x:c r="O40" s="602"/>
    </x:row>
    <x:row r="41">
      <x:c r="A41" s="580" t="n">
        <x:v>46281</x:v>
      </x:c>
      <x:c r="B41" s="581" t="str">
        <x:v>Wed</x:v>
      </x:c>
      <x:c r="C41" s="581" t="n">
        <x:v>2</x:v>
      </x:c>
      <x:c r="D41" s="581" t="str">
        <x:v>BECM 3208</x:v>
      </x:c>
      <x:c r="E41" s="581" t="str">
        <x:v>Regular</x:v>
      </x:c>
      <x:c r="F41" s="601" t="str">
        <x:v>MSH/MSA</x:v>
      </x:c>
      <x:c r="G41" s="601" t="str">
        <x:v>7-9 • 02:30 PM–05:00 PM • Room 501</x:v>
      </x:c>
      <x:c r="H41" s="601" t="str">
        <x:v>Wed PM</x:v>
      </x:c>
      <x:c r="I41" s="601" t="str">
        <x:f>IF(E41="Extra",IF(AND(A41&lt;&gt;"",D41&lt;&gt;""),"Yes",""),IF(COUNTIF('Routine &amp; Holidays'!$M$8:$M$35,A41)&gt;0,"No",IF(D41="BECM 3204",IF(H41=Dashboard!$C$5,"Yes","No"),IF(D41="BECM 3208",IF(H41=Dashboard!$C$6,"Yes","No"),IF(D41="CE 3224",IF(H41=Dashboard!$C$7,"Yes","No"),IF(D41="BECM 3200",IF(Dashboard!$C$8="Every Week","Yes",IF(Dashboard!$C$8="Odd Weeks",IF(MOD(C41,2)=1,"Yes","No"),IF(MOD(C41,2)=0,"Yes","No"))),"Yes"))))))</x:f>
        <x:v>No</x:v>
      </x:c>
      <x:c r="J41" s="601"/>
      <x:c r="K41" s="601" t="str">
        <x:v>None</x:v>
      </x:c>
      <x:c r="L41" s="601"/>
      <x:c r="M41" s="601"/>
      <x:c r="N41" s="601"/>
      <x:c r="O41" s="602"/>
    </x:row>
    <x:row r="42">
      <x:c r="A42" s="580" t="n">
        <x:v>46281</x:v>
      </x:c>
      <x:c r="B42" s="581" t="str">
        <x:v>Wed</x:v>
      </x:c>
      <x:c r="C42" s="581" t="n">
        <x:v>2</x:v>
      </x:c>
      <x:c r="D42" s="581" t="str">
        <x:v>CE 3213</x:v>
      </x:c>
      <x:c r="E42" s="581" t="str">
        <x:v>Regular</x:v>
      </x:c>
      <x:c r="F42" s="601" t="str">
        <x:v>HRS/MKI</x:v>
      </x:c>
      <x:c r="G42" s="601" t="str">
        <x:v>3rd • 09:40 AM–10:30 AM • Room 501</x:v>
      </x:c>
      <x:c r="H42" s="601" t="str">
        <x:v>WED P3</x:v>
      </x:c>
      <x:c r="I42" s="601" t="str">
        <x:f>IF(E42="Extra",IF(AND(A42&lt;&gt;"",D42&lt;&gt;""),"Yes",""),IF(COUNTIF('Routine &amp; Holidays'!$M$8:$M$35,A42)&gt;0,"No",IF(D42="BECM 3204",IF(H42=Dashboard!$C$5,"Yes","No"),IF(D42="BECM 3208",IF(H42=Dashboard!$C$6,"Yes","No"),IF(D42="CE 3224",IF(H42=Dashboard!$C$7,"Yes","No"),IF(D42="BECM 3200",IF(Dashboard!$C$8="Every Week","Yes",IF(Dashboard!$C$8="Odd Weeks",IF(MOD(C42,2)=1,"Yes","No"),IF(MOD(C42,2)=0,"Yes","No"))),"Yes"))))))</x:f>
        <x:v>Yes</x:v>
      </x:c>
      <x:c r="J42" s="601"/>
      <x:c r="K42" s="601" t="str">
        <x:v>None</x:v>
      </x:c>
      <x:c r="L42" s="601"/>
      <x:c r="M42" s="601"/>
      <x:c r="N42" s="601"/>
      <x:c r="O42" s="602"/>
    </x:row>
    <x:row r="43">
      <x:c r="A43" s="580" t="n">
        <x:v>46281</x:v>
      </x:c>
      <x:c r="B43" s="581" t="str">
        <x:v>Wed</x:v>
      </x:c>
      <x:c r="C43" s="581" t="n">
        <x:v>2</x:v>
      </x:c>
      <x:c r="D43" s="581" t="str">
        <x:v>CE 3211</x:v>
      </x:c>
      <x:c r="E43" s="581" t="str">
        <x:v>Regular</x:v>
      </x:c>
      <x:c r="F43" s="601" t="str">
        <x:v>ATB</x:v>
      </x:c>
      <x:c r="G43" s="601" t="str">
        <x:v>4th • 10:40 AM–11:30 AM • Room 501</x:v>
      </x:c>
      <x:c r="H43" s="601" t="str">
        <x:v>WED P4</x:v>
      </x:c>
      <x:c r="I43" s="601" t="str">
        <x:f>IF(E43="Extra",IF(AND(A43&lt;&gt;"",D43&lt;&gt;""),"Yes",""),IF(COUNTIF('Routine &amp; Holidays'!$M$8:$M$35,A43)&gt;0,"No",IF(D43="BECM 3204",IF(H43=Dashboard!$C$5,"Yes","No"),IF(D43="BECM 3208",IF(H43=Dashboard!$C$6,"Yes","No"),IF(D43="CE 3224",IF(H43=Dashboard!$C$7,"Yes","No"),IF(D43="BECM 3200",IF(Dashboard!$C$8="Every Week","Yes",IF(Dashboard!$C$8="Odd Weeks",IF(MOD(C43,2)=1,"Yes","No"),IF(MOD(C43,2)=0,"Yes","No"))),"Yes"))))))</x:f>
        <x:v>Yes</x:v>
      </x:c>
      <x:c r="J43" s="601"/>
      <x:c r="K43" s="601" t="str">
        <x:v>None</x:v>
      </x:c>
      <x:c r="L43" s="601"/>
      <x:c r="M43" s="601"/>
      <x:c r="N43" s="601"/>
      <x:c r="O43" s="602"/>
    </x:row>
    <x:row r="44">
      <x:c r="A44" s="580" t="n">
        <x:v>46281</x:v>
      </x:c>
      <x:c r="B44" s="581" t="str">
        <x:v>Wed</x:v>
      </x:c>
      <x:c r="C44" s="581" t="n">
        <x:v>2</x:v>
      </x:c>
      <x:c r="D44" s="581" t="str">
        <x:v>CE 3223</x:v>
      </x:c>
      <x:c r="E44" s="581" t="str">
        <x:v>Regular</x:v>
      </x:c>
      <x:c r="F44" s="601" t="str">
        <x:v>MHI</x:v>
      </x:c>
      <x:c r="G44" s="601" t="str">
        <x:v>5th • 11:30 AM–12:20 PM • Room 501</x:v>
      </x:c>
      <x:c r="H44" s="601" t="str">
        <x:v>WED P5</x:v>
      </x:c>
      <x:c r="I44" s="601" t="str">
        <x:f>IF(E44="Extra",IF(AND(A44&lt;&gt;"",D44&lt;&gt;""),"Yes",""),IF(COUNTIF('Routine &amp; Holidays'!$M$8:$M$35,A44)&gt;0,"No",IF(D44="BECM 3204",IF(H44=Dashboard!$C$5,"Yes","No"),IF(D44="BECM 3208",IF(H44=Dashboard!$C$6,"Yes","No"),IF(D44="CE 3224",IF(H44=Dashboard!$C$7,"Yes","No"),IF(D44="BECM 3200",IF(Dashboard!$C$8="Every Week","Yes",IF(Dashboard!$C$8="Odd Weeks",IF(MOD(C44,2)=1,"Yes","No"),IF(MOD(C44,2)=0,"Yes","No"))),"Yes"))))))</x:f>
        <x:v>Yes</x:v>
      </x:c>
      <x:c r="J44" s="601"/>
      <x:c r="K44" s="601" t="str">
        <x:v>None</x:v>
      </x:c>
      <x:c r="L44" s="601"/>
      <x:c r="M44" s="601"/>
      <x:c r="N44" s="601"/>
      <x:c r="O44" s="602"/>
    </x:row>
    <x:row r="45">
      <x:c r="A45" s="580" t="n">
        <x:v>46281</x:v>
      </x:c>
      <x:c r="B45" s="581" t="str">
        <x:v>Wed</x:v>
      </x:c>
      <x:c r="C45" s="581" t="n">
        <x:v>2</x:v>
      </x:c>
      <x:c r="D45" s="581" t="str">
        <x:v>BECM 3205</x:v>
      </x:c>
      <x:c r="E45" s="581" t="str">
        <x:v>Regular</x:v>
      </x:c>
      <x:c r="F45" s="601" t="str">
        <x:v>MSH/AAM</x:v>
      </x:c>
      <x:c r="G45" s="601" t="str">
        <x:v>6th • 12:20 PM–01:10 PM • Room 501</x:v>
      </x:c>
      <x:c r="H45" s="601" t="str">
        <x:v>WED P6</x:v>
      </x:c>
      <x:c r="I45" s="601" t="str">
        <x:f>IF(E45="Extra",IF(AND(A45&lt;&gt;"",D45&lt;&gt;""),"Yes",""),IF(COUNTIF('Routine &amp; Holidays'!$M$8:$M$35,A45)&gt;0,"No",IF(D45="BECM 3204",IF(H45=Dashboard!$C$5,"Yes","No"),IF(D45="BECM 3208",IF(H45=Dashboard!$C$6,"Yes","No"),IF(D45="CE 3224",IF(H45=Dashboard!$C$7,"Yes","No"),IF(D45="BECM 3200",IF(Dashboard!$C$8="Every Week","Yes",IF(Dashboard!$C$8="Odd Weeks",IF(MOD(C45,2)=1,"Yes","No"),IF(MOD(C45,2)=0,"Yes","No"))),"Yes"))))))</x:f>
        <x:v>Yes</x:v>
      </x:c>
      <x:c r="J45" s="601"/>
      <x:c r="K45" s="601" t="str">
        <x:v>None</x:v>
      </x:c>
      <x:c r="L45" s="601"/>
      <x:c r="M45" s="601"/>
      <x:c r="N45" s="601"/>
      <x:c r="O45" s="602"/>
    </x:row>
    <x:row r="46">
      <x:c r="A46" s="580" t="n">
        <x:v>46282</x:v>
      </x:c>
      <x:c r="B46" s="581" t="str">
        <x:v>Thurs</x:v>
      </x:c>
      <x:c r="C46" s="581" t="n">
        <x:v>2</x:v>
      </x:c>
      <x:c r="D46" s="581" t="str">
        <x:v>CE 3224</x:v>
      </x:c>
      <x:c r="E46" s="581" t="str">
        <x:v>Regular</x:v>
      </x:c>
      <x:c r="F46" s="601" t="str">
        <x:v>MHI/MRA</x:v>
      </x:c>
      <x:c r="G46" s="601" t="str">
        <x:v>7-9 • 02:30 PM–05:00 PM • Room 405</x:v>
      </x:c>
      <x:c r="H46" s="601" t="str">
        <x:v>Thu PM</x:v>
      </x:c>
      <x:c r="I46" s="601" t="str">
        <x:f>IF(E46="Extra",IF(AND(A46&lt;&gt;"",D46&lt;&gt;""),"Yes",""),IF(COUNTIF('Routine &amp; Holidays'!$M$8:$M$35,A46)&gt;0,"No",IF(D46="BECM 3204",IF(H46=Dashboard!$C$5,"Yes","No"),IF(D46="BECM 3208",IF(H46=Dashboard!$C$6,"Yes","No"),IF(D46="CE 3224",IF(H46=Dashboard!$C$7,"Yes","No"),IF(D46="BECM 3200",IF(Dashboard!$C$8="Every Week","Yes",IF(Dashboard!$C$8="Odd Weeks",IF(MOD(C46,2)=1,"Yes","No"),IF(MOD(C46,2)=0,"Yes","No"))),"Yes"))))))</x:f>
        <x:v>No</x:v>
      </x:c>
      <x:c r="J46" s="601"/>
      <x:c r="K46" s="601" t="str">
        <x:v>None</x:v>
      </x:c>
      <x:c r="L46" s="601"/>
      <x:c r="M46" s="601"/>
      <x:c r="N46" s="601"/>
      <x:c r="O46" s="602"/>
    </x:row>
    <x:row r="47">
      <x:c r="A47" s="580" t="n">
        <x:v>46282</x:v>
      </x:c>
      <x:c r="B47" s="581" t="str">
        <x:v>Thurs</x:v>
      </x:c>
      <x:c r="C47" s="581" t="n">
        <x:v>2</x:v>
      </x:c>
      <x:c r="D47" s="581" t="str">
        <x:v>BECM 3204</x:v>
      </x:c>
      <x:c r="E47" s="581" t="str">
        <x:v>Regular</x:v>
      </x:c>
      <x:c r="F47" s="601" t="str">
        <x:v>HRS/MR</x:v>
      </x:c>
      <x:c r="G47" s="601" t="str">
        <x:v>1-3 • 08:00 AM–10:30 AM</x:v>
      </x:c>
      <x:c r="H47" s="601" t="str">
        <x:v>Thu AM</x:v>
      </x:c>
      <x:c r="I47" s="601" t="str">
        <x:f>IF(E47="Extra",IF(AND(A47&lt;&gt;"",D47&lt;&gt;""),"Yes",""),IF(COUNTIF('Routine &amp; Holidays'!$M$8:$M$35,A47)&gt;0,"No",IF(D47="BECM 3204",IF(H47=Dashboard!$C$5,"Yes","No"),IF(D47="BECM 3208",IF(H47=Dashboard!$C$6,"Yes","No"),IF(D47="CE 3224",IF(H47=Dashboard!$C$7,"Yes","No"),IF(D47="BECM 3200",IF(Dashboard!$C$8="Every Week","Yes",IF(Dashboard!$C$8="Odd Weeks",IF(MOD(C47,2)=1,"Yes","No"),IF(MOD(C47,2)=0,"Yes","No"))),"Yes"))))))</x:f>
        <x:v>No</x:v>
      </x:c>
      <x:c r="J47" s="601"/>
      <x:c r="K47" s="601" t="str">
        <x:v>None</x:v>
      </x:c>
      <x:c r="L47" s="601"/>
      <x:c r="M47" s="601"/>
      <x:c r="N47" s="601"/>
      <x:c r="O47" s="602"/>
    </x:row>
    <x:row r="48">
      <x:c r="A48" s="580" t="n">
        <x:v>46282</x:v>
      </x:c>
      <x:c r="B48" s="581" t="str">
        <x:v>Thurs</x:v>
      </x:c>
      <x:c r="C48" s="581" t="n">
        <x:v>2</x:v>
      </x:c>
      <x:c r="D48" s="581" t="str">
        <x:v>BECM 3205</x:v>
      </x:c>
      <x:c r="E48" s="581" t="str">
        <x:v>Regular</x:v>
      </x:c>
      <x:c r="F48" s="601" t="str">
        <x:v>MSH</x:v>
      </x:c>
      <x:c r="G48" s="601" t="str">
        <x:v>4th • 10:40 AM–11:30 AM • Room 406</x:v>
      </x:c>
      <x:c r="H48" s="601" t="str">
        <x:v>THURS P4</x:v>
      </x:c>
      <x:c r="I48" s="601" t="str">
        <x:f>IF(E48="Extra",IF(AND(A48&lt;&gt;"",D48&lt;&gt;""),"Yes",""),IF(COUNTIF('Routine &amp; Holidays'!$M$8:$M$35,A48)&gt;0,"No",IF(D48="BECM 3204",IF(H48=Dashboard!$C$5,"Yes","No"),IF(D48="BECM 3208",IF(H48=Dashboard!$C$6,"Yes","No"),IF(D48="CE 3224",IF(H48=Dashboard!$C$7,"Yes","No"),IF(D48="BECM 3200",IF(Dashboard!$C$8="Every Week","Yes",IF(Dashboard!$C$8="Odd Weeks",IF(MOD(C48,2)=1,"Yes","No"),IF(MOD(C48,2)=0,"Yes","No"))),"Yes"))))))</x:f>
        <x:v>Yes</x:v>
      </x:c>
      <x:c r="J48" s="601"/>
      <x:c r="K48" s="601" t="str">
        <x:v>None</x:v>
      </x:c>
      <x:c r="L48" s="601"/>
      <x:c r="M48" s="601"/>
      <x:c r="N48" s="601"/>
      <x:c r="O48" s="602"/>
    </x:row>
    <x:row r="49">
      <x:c r="A49" s="580" t="n">
        <x:v>46282</x:v>
      </x:c>
      <x:c r="B49" s="581" t="str">
        <x:v>Thurs</x:v>
      </x:c>
      <x:c r="C49" s="581" t="n">
        <x:v>2</x:v>
      </x:c>
      <x:c r="D49" s="581" t="str">
        <x:v>CE 3211</x:v>
      </x:c>
      <x:c r="E49" s="581" t="str">
        <x:v>Regular</x:v>
      </x:c>
      <x:c r="F49" s="601" t="str">
        <x:v>MKI/ATB</x:v>
      </x:c>
      <x:c r="G49" s="601" t="str">
        <x:v>5th • 11:30 AM–12:20 PM • Room 406</x:v>
      </x:c>
      <x:c r="H49" s="601" t="str">
        <x:v>THURS P5</x:v>
      </x:c>
      <x:c r="I49" s="601" t="str">
        <x:f>IF(E49="Extra",IF(AND(A49&lt;&gt;"",D49&lt;&gt;""),"Yes",""),IF(COUNTIF('Routine &amp; Holidays'!$M$8:$M$35,A49)&gt;0,"No",IF(D49="BECM 3204",IF(H49=Dashboard!$C$5,"Yes","No"),IF(D49="BECM 3208",IF(H49=Dashboard!$C$6,"Yes","No"),IF(D49="CE 3224",IF(H49=Dashboard!$C$7,"Yes","No"),IF(D49="BECM 3200",IF(Dashboard!$C$8="Every Week","Yes",IF(Dashboard!$C$8="Odd Weeks",IF(MOD(C49,2)=1,"Yes","No"),IF(MOD(C49,2)=0,"Yes","No"))),"Yes"))))))</x:f>
        <x:v>Yes</x:v>
      </x:c>
      <x:c r="J49" s="601"/>
      <x:c r="K49" s="601" t="str">
        <x:v>None</x:v>
      </x:c>
      <x:c r="L49" s="601"/>
      <x:c r="M49" s="601"/>
      <x:c r="N49" s="601"/>
      <x:c r="O49" s="602"/>
    </x:row>
    <x:row r="50">
      <x:c r="A50" s="580" t="n">
        <x:v>46282</x:v>
      </x:c>
      <x:c r="B50" s="581" t="str">
        <x:v>Thurs</x:v>
      </x:c>
      <x:c r="C50" s="581" t="n">
        <x:v>2</x:v>
      </x:c>
      <x:c r="D50" s="581" t="str">
        <x:v>BECM 3201</x:v>
      </x:c>
      <x:c r="E50" s="581" t="str">
        <x:v>Regular</x:v>
      </x:c>
      <x:c r="F50" s="601" t="str">
        <x:v>MR/MRA</x:v>
      </x:c>
      <x:c r="G50" s="601" t="str">
        <x:v>6th • 12:20 PM–01:10 PM • Room 406</x:v>
      </x:c>
      <x:c r="H50" s="601" t="str">
        <x:v>THURS P6</x:v>
      </x:c>
      <x:c r="I50" s="601" t="str">
        <x:f>IF(E50="Extra",IF(AND(A50&lt;&gt;"",D50&lt;&gt;""),"Yes",""),IF(COUNTIF('Routine &amp; Holidays'!$M$8:$M$35,A50)&gt;0,"No",IF(D50="BECM 3204",IF(H50=Dashboard!$C$5,"Yes","No"),IF(D50="BECM 3208",IF(H50=Dashboard!$C$6,"Yes","No"),IF(D50="CE 3224",IF(H50=Dashboard!$C$7,"Yes","No"),IF(D50="BECM 3200",IF(Dashboard!$C$8="Every Week","Yes",IF(Dashboard!$C$8="Odd Weeks",IF(MOD(C50,2)=1,"Yes","No"),IF(MOD(C50,2)=0,"Yes","No"))),"Yes"))))))</x:f>
        <x:v>Yes</x:v>
      </x:c>
      <x:c r="J50" s="601"/>
      <x:c r="K50" s="601" t="str">
        <x:v>None</x:v>
      </x:c>
      <x:c r="L50" s="601"/>
      <x:c r="M50" s="601"/>
      <x:c r="N50" s="601"/>
      <x:c r="O50" s="602"/>
    </x:row>
    <x:row r="51">
      <x:c r="A51" s="580" t="n">
        <x:v>46285</x:v>
      </x:c>
      <x:c r="B51" s="581" t="str">
        <x:v>Sun</x:v>
      </x:c>
      <x:c r="C51" s="581" t="n">
        <x:v>3</x:v>
      </x:c>
      <x:c r="D51" s="581" t="str">
        <x:v>BECM 3204</x:v>
      </x:c>
      <x:c r="E51" s="581" t="str">
        <x:v>Regular</x:v>
      </x:c>
      <x:c r="F51" s="601" t="str">
        <x:v>HRS/MR</x:v>
      </x:c>
      <x:c r="G51" s="601" t="str">
        <x:v>7-9 • 02:30 PM–05:00 PM • Room 404</x:v>
      </x:c>
      <x:c r="H51" s="601" t="str">
        <x:v>Sun PM</x:v>
      </x:c>
      <x:c r="I51" s="601" t="str">
        <x:f>IF(E51="Extra",IF(AND(A51&lt;&gt;"",D51&lt;&gt;""),"Yes",""),IF(COUNTIF('Routine &amp; Holidays'!$M$8:$M$35,A51)&gt;0,"No",IF(D51="BECM 3204",IF(H51=Dashboard!$C$5,"Yes","No"),IF(D51="BECM 3208",IF(H51=Dashboard!$C$6,"Yes","No"),IF(D51="CE 3224",IF(H51=Dashboard!$C$7,"Yes","No"),IF(D51="BECM 3200",IF(Dashboard!$C$8="Every Week","Yes",IF(Dashboard!$C$8="Odd Weeks",IF(MOD(C51,2)=1,"Yes","No"),IF(MOD(C51,2)=0,"Yes","No"))),"Yes"))))))</x:f>
        <x:v>Yes</x:v>
      </x:c>
      <x:c r="J51" s="601"/>
      <x:c r="K51" s="601" t="str">
        <x:v>None</x:v>
      </x:c>
      <x:c r="L51" s="601"/>
      <x:c r="M51" s="601"/>
      <x:c r="N51" s="601"/>
      <x:c r="O51" s="602"/>
    </x:row>
    <x:row r="52">
      <x:c r="A52" s="580" t="n">
        <x:v>46285</x:v>
      </x:c>
      <x:c r="B52" s="581" t="str">
        <x:v>Sun</x:v>
      </x:c>
      <x:c r="C52" s="581" t="n">
        <x:v>3</x:v>
      </x:c>
      <x:c r="D52" s="581" t="str">
        <x:v>CE 3213</x:v>
      </x:c>
      <x:c r="E52" s="581" t="str">
        <x:v>Regular</x:v>
      </x:c>
      <x:c r="F52" s="601" t="str">
        <x:v>HRS</x:v>
      </x:c>
      <x:c r="G52" s="601" t="str">
        <x:v>4th • 10:40 AM–11:30 AM • Room 501</x:v>
      </x:c>
      <x:c r="H52" s="601" t="str">
        <x:v>SUN P4</x:v>
      </x:c>
      <x:c r="I52" s="601" t="str">
        <x:f>IF(E52="Extra",IF(AND(A52&lt;&gt;"",D52&lt;&gt;""),"Yes",""),IF(COUNTIF('Routine &amp; Holidays'!$M$8:$M$35,A52)&gt;0,"No",IF(D52="BECM 3204",IF(H52=Dashboard!$C$5,"Yes","No"),IF(D52="BECM 3208",IF(H52=Dashboard!$C$6,"Yes","No"),IF(D52="CE 3224",IF(H52=Dashboard!$C$7,"Yes","No"),IF(D52="BECM 3200",IF(Dashboard!$C$8="Every Week","Yes",IF(Dashboard!$C$8="Odd Weeks",IF(MOD(C52,2)=1,"Yes","No"),IF(MOD(C52,2)=0,"Yes","No"))),"Yes"))))))</x:f>
        <x:v>Yes</x:v>
      </x:c>
      <x:c r="J52" s="601"/>
      <x:c r="K52" s="601" t="str">
        <x:v>None</x:v>
      </x:c>
      <x:c r="L52" s="601"/>
      <x:c r="M52" s="601"/>
      <x:c r="N52" s="601"/>
      <x:c r="O52" s="602"/>
    </x:row>
    <x:row r="53">
      <x:c r="A53" s="580" t="n">
        <x:v>46285</x:v>
      </x:c>
      <x:c r="B53" s="581" t="str">
        <x:v>Sun</x:v>
      </x:c>
      <x:c r="C53" s="581" t="n">
        <x:v>3</x:v>
      </x:c>
      <x:c r="D53" s="581" t="str">
        <x:v>CE 3223</x:v>
      </x:c>
      <x:c r="E53" s="581" t="str">
        <x:v>Regular</x:v>
      </x:c>
      <x:c r="F53" s="601" t="str">
        <x:v>MSA</x:v>
      </x:c>
      <x:c r="G53" s="601" t="str">
        <x:v>5th • 11:30 AM–12:20 PM • Room 501</x:v>
      </x:c>
      <x:c r="H53" s="601" t="str">
        <x:v>SUN P5</x:v>
      </x:c>
      <x:c r="I53" s="601" t="str">
        <x:f>IF(E53="Extra",IF(AND(A53&lt;&gt;"",D53&lt;&gt;""),"Yes",""),IF(COUNTIF('Routine &amp; Holidays'!$M$8:$M$35,A53)&gt;0,"No",IF(D53="BECM 3204",IF(H53=Dashboard!$C$5,"Yes","No"),IF(D53="BECM 3208",IF(H53=Dashboard!$C$6,"Yes","No"),IF(D53="CE 3224",IF(H53=Dashboard!$C$7,"Yes","No"),IF(D53="BECM 3200",IF(Dashboard!$C$8="Every Week","Yes",IF(Dashboard!$C$8="Odd Weeks",IF(MOD(C53,2)=1,"Yes","No"),IF(MOD(C53,2)=0,"Yes","No"))),"Yes"))))))</x:f>
        <x:v>Yes</x:v>
      </x:c>
      <x:c r="J53" s="601"/>
      <x:c r="K53" s="601" t="str">
        <x:v>None</x:v>
      </x:c>
      <x:c r="L53" s="601"/>
      <x:c r="M53" s="601"/>
      <x:c r="N53" s="601"/>
      <x:c r="O53" s="602"/>
    </x:row>
    <x:row r="54">
      <x:c r="A54" s="580" t="n">
        <x:v>46285</x:v>
      </x:c>
      <x:c r="B54" s="581" t="str">
        <x:v>Sun</x:v>
      </x:c>
      <x:c r="C54" s="581" t="n">
        <x:v>3</x:v>
      </x:c>
      <x:c r="D54" s="581" t="str">
        <x:v>CE 3211</x:v>
      </x:c>
      <x:c r="E54" s="581" t="str">
        <x:v>Regular</x:v>
      </x:c>
      <x:c r="F54" s="601" t="str">
        <x:v>MKI</x:v>
      </x:c>
      <x:c r="G54" s="601" t="str">
        <x:v>6th • 12:20 PM–01:10 PM • Room 501</x:v>
      </x:c>
      <x:c r="H54" s="601" t="str">
        <x:v>SUN P6</x:v>
      </x:c>
      <x:c r="I54" s="601" t="str">
        <x:f>IF(E54="Extra",IF(AND(A54&lt;&gt;"",D54&lt;&gt;""),"Yes",""),IF(COUNTIF('Routine &amp; Holidays'!$M$8:$M$35,A54)&gt;0,"No",IF(D54="BECM 3204",IF(H54=Dashboard!$C$5,"Yes","No"),IF(D54="BECM 3208",IF(H54=Dashboard!$C$6,"Yes","No"),IF(D54="CE 3224",IF(H54=Dashboard!$C$7,"Yes","No"),IF(D54="BECM 3200",IF(Dashboard!$C$8="Every Week","Yes",IF(Dashboard!$C$8="Odd Weeks",IF(MOD(C54,2)=1,"Yes","No"),IF(MOD(C54,2)=0,"Yes","No"))),"Yes"))))))</x:f>
        <x:v>Yes</x:v>
      </x:c>
      <x:c r="J54" s="601"/>
      <x:c r="K54" s="601" t="str">
        <x:v>None</x:v>
      </x:c>
      <x:c r="L54" s="601"/>
      <x:c r="M54" s="601"/>
      <x:c r="N54" s="601"/>
      <x:c r="O54" s="602"/>
    </x:row>
    <x:row r="55">
      <x:c r="A55" s="580" t="n">
        <x:v>46286</x:v>
      </x:c>
      <x:c r="B55" s="581" t="str">
        <x:v>Mon</x:v>
      </x:c>
      <x:c r="C55" s="581" t="n">
        <x:v>3</x:v>
      </x:c>
      <x:c r="D55" s="581" t="str">
        <x:v>BECM 3200</x:v>
      </x:c>
      <x:c r="E55" s="581" t="str">
        <x:v>Regular</x:v>
      </x:c>
      <x:c r="F55" s="601" t="str">
        <x:v>ALL</x:v>
      </x:c>
      <x:c r="G55" s="601" t="str">
        <x:v>7-9 • 02:30 PM–05:00 PM</x:v>
      </x:c>
      <x:c r="H55" s="601" t="str">
        <x:v>Mon PM</x:v>
      </x:c>
      <x:c r="I55" s="601" t="str">
        <x:f>IF(E55="Extra",IF(AND(A55&lt;&gt;"",D55&lt;&gt;""),"Yes",""),IF(COUNTIF('Routine &amp; Holidays'!$M$8:$M$35,A55)&gt;0,"No",IF(D55="BECM 3204",IF(H55=Dashboard!$C$5,"Yes","No"),IF(D55="BECM 3208",IF(H55=Dashboard!$C$6,"Yes","No"),IF(D55="CE 3224",IF(H55=Dashboard!$C$7,"Yes","No"),IF(D55="BECM 3200",IF(Dashboard!$C$8="Every Week","Yes",IF(Dashboard!$C$8="Odd Weeks",IF(MOD(C55,2)=1,"Yes","No"),IF(MOD(C55,2)=0,"Yes","No"))),"Yes"))))))</x:f>
        <x:v>Yes</x:v>
      </x:c>
      <x:c r="J55" s="601"/>
      <x:c r="K55" s="601" t="str">
        <x:v>None</x:v>
      </x:c>
      <x:c r="L55" s="601"/>
      <x:c r="M55" s="601"/>
      <x:c r="N55" s="601"/>
      <x:c r="O55" s="602"/>
    </x:row>
    <x:row r="56">
      <x:c r="A56" s="580" t="n">
        <x:v>46286</x:v>
      </x:c>
      <x:c r="B56" s="581" t="str">
        <x:v>Mon</x:v>
      </x:c>
      <x:c r="C56" s="581" t="n">
        <x:v>3</x:v>
      </x:c>
      <x:c r="D56" s="581" t="str">
        <x:v>CE 3223</x:v>
      </x:c>
      <x:c r="E56" s="581" t="str">
        <x:v>Regular</x:v>
      </x:c>
      <x:c r="F56" s="601" t="str">
        <x:v>MHI/MSA</x:v>
      </x:c>
      <x:c r="G56" s="601" t="str">
        <x:v>3rd • 09:40 AM–10:30 AM • Room 404</x:v>
      </x:c>
      <x:c r="H56" s="601" t="str">
        <x:v>MON P3</x:v>
      </x:c>
      <x:c r="I56" s="601" t="str">
        <x:f>IF(E56="Extra",IF(AND(A56&lt;&gt;"",D56&lt;&gt;""),"Yes",""),IF(COUNTIF('Routine &amp; Holidays'!$M$8:$M$35,A56)&gt;0,"No",IF(D56="BECM 3204",IF(H56=Dashboard!$C$5,"Yes","No"),IF(D56="BECM 3208",IF(H56=Dashboard!$C$6,"Yes","No"),IF(D56="CE 3224",IF(H56=Dashboard!$C$7,"Yes","No"),IF(D56="BECM 3200",IF(Dashboard!$C$8="Every Week","Yes",IF(Dashboard!$C$8="Odd Weeks",IF(MOD(C56,2)=1,"Yes","No"),IF(MOD(C56,2)=0,"Yes","No"))),"Yes"))))))</x:f>
        <x:v>Yes</x:v>
      </x:c>
      <x:c r="J56" s="601"/>
      <x:c r="K56" s="601" t="str">
        <x:v>None</x:v>
      </x:c>
      <x:c r="L56" s="601"/>
      <x:c r="M56" s="601"/>
      <x:c r="N56" s="601"/>
      <x:c r="O56" s="602"/>
    </x:row>
    <x:row r="57">
      <x:c r="A57" s="580" t="n">
        <x:v>46286</x:v>
      </x:c>
      <x:c r="B57" s="581" t="str">
        <x:v>Mon</x:v>
      </x:c>
      <x:c r="C57" s="581" t="n">
        <x:v>3</x:v>
      </x:c>
      <x:c r="D57" s="581" t="str">
        <x:v>BECM 3201</x:v>
      </x:c>
      <x:c r="E57" s="581" t="str">
        <x:v>Regular</x:v>
      </x:c>
      <x:c r="F57" s="601" t="str">
        <x:v>MR</x:v>
      </x:c>
      <x:c r="G57" s="601" t="str">
        <x:v>5th • 11:30 AM–12:20 PM • Room 405</x:v>
      </x:c>
      <x:c r="H57" s="601" t="str">
        <x:v>MON P5</x:v>
      </x:c>
      <x:c r="I57" s="601" t="str">
        <x:f>IF(E57="Extra",IF(AND(A57&lt;&gt;"",D57&lt;&gt;""),"Yes",""),IF(COUNTIF('Routine &amp; Holidays'!$M$8:$M$35,A57)&gt;0,"No",IF(D57="BECM 3204",IF(H57=Dashboard!$C$5,"Yes","No"),IF(D57="BECM 3208",IF(H57=Dashboard!$C$6,"Yes","No"),IF(D57="CE 3224",IF(H57=Dashboard!$C$7,"Yes","No"),IF(D57="BECM 3200",IF(Dashboard!$C$8="Every Week","Yes",IF(Dashboard!$C$8="Odd Weeks",IF(MOD(C57,2)=1,"Yes","No"),IF(MOD(C57,2)=0,"Yes","No"))),"Yes"))))))</x:f>
        <x:v>Yes</x:v>
      </x:c>
      <x:c r="J57" s="601"/>
      <x:c r="K57" s="601" t="str">
        <x:v>None</x:v>
      </x:c>
      <x:c r="L57" s="601"/>
      <x:c r="M57" s="601"/>
      <x:c r="N57" s="601"/>
      <x:c r="O57" s="602"/>
    </x:row>
    <x:row r="58">
      <x:c r="A58" s="580" t="n">
        <x:v>46286</x:v>
      </x:c>
      <x:c r="B58" s="581" t="str">
        <x:v>Mon</x:v>
      </x:c>
      <x:c r="C58" s="581" t="n">
        <x:v>3</x:v>
      </x:c>
      <x:c r="D58" s="581" t="str">
        <x:v>BECM 3205</x:v>
      </x:c>
      <x:c r="E58" s="581" t="str">
        <x:v>Regular</x:v>
      </x:c>
      <x:c r="F58" s="601" t="str">
        <x:v>AAM</x:v>
      </x:c>
      <x:c r="G58" s="601" t="str">
        <x:v>6th • 12:20 PM–01:10 PM • Room 405</x:v>
      </x:c>
      <x:c r="H58" s="601" t="str">
        <x:v>MON P6</x:v>
      </x:c>
      <x:c r="I58" s="601" t="str">
        <x:f>IF(E58="Extra",IF(AND(A58&lt;&gt;"",D58&lt;&gt;""),"Yes",""),IF(COUNTIF('Routine &amp; Holidays'!$M$8:$M$35,A58)&gt;0,"No",IF(D58="BECM 3204",IF(H58=Dashboard!$C$5,"Yes","No"),IF(D58="BECM 3208",IF(H58=Dashboard!$C$6,"Yes","No"),IF(D58="CE 3224",IF(H58=Dashboard!$C$7,"Yes","No"),IF(D58="BECM 3200",IF(Dashboard!$C$8="Every Week","Yes",IF(Dashboard!$C$8="Odd Weeks",IF(MOD(C58,2)=1,"Yes","No"),IF(MOD(C58,2)=0,"Yes","No"))),"Yes"))))))</x:f>
        <x:v>Yes</x:v>
      </x:c>
      <x:c r="J58" s="601"/>
      <x:c r="K58" s="601" t="str">
        <x:v>None</x:v>
      </x:c>
      <x:c r="L58" s="601"/>
      <x:c r="M58" s="601"/>
      <x:c r="N58" s="601"/>
      <x:c r="O58" s="602"/>
    </x:row>
    <x:row r="59">
      <x:c r="A59" s="580" t="n">
        <x:v>46287</x:v>
      </x:c>
      <x:c r="B59" s="581" t="str">
        <x:v>Tues</x:v>
      </x:c>
      <x:c r="C59" s="581" t="n">
        <x:v>3</x:v>
      </x:c>
      <x:c r="D59" s="581" t="str">
        <x:v>BECM 3208</x:v>
      </x:c>
      <x:c r="E59" s="581" t="str">
        <x:v>Regular</x:v>
      </x:c>
      <x:c r="F59" s="601" t="str">
        <x:v>MSH/MSA</x:v>
      </x:c>
      <x:c r="G59" s="601" t="str">
        <x:v>7-9 • 02:30 PM–05:00 PM</x:v>
      </x:c>
      <x:c r="H59" s="601" t="str">
        <x:v>Tue PM</x:v>
      </x:c>
      <x:c r="I59" s="601" t="str">
        <x:f>IF(E59="Extra",IF(AND(A59&lt;&gt;"",D59&lt;&gt;""),"Yes",""),IF(COUNTIF('Routine &amp; Holidays'!$M$8:$M$35,A59)&gt;0,"No",IF(D59="BECM 3204",IF(H59=Dashboard!$C$5,"Yes","No"),IF(D59="BECM 3208",IF(H59=Dashboard!$C$6,"Yes","No"),IF(D59="CE 3224",IF(H59=Dashboard!$C$7,"Yes","No"),IF(D59="BECM 3200",IF(Dashboard!$C$8="Every Week","Yes",IF(Dashboard!$C$8="Odd Weeks",IF(MOD(C59,2)=1,"Yes","No"),IF(MOD(C59,2)=0,"Yes","No"))),"Yes"))))))</x:f>
        <x:v>Yes</x:v>
      </x:c>
      <x:c r="J59" s="601"/>
      <x:c r="K59" s="601" t="str">
        <x:v>None</x:v>
      </x:c>
      <x:c r="L59" s="601"/>
      <x:c r="M59" s="601"/>
      <x:c r="N59" s="601"/>
      <x:c r="O59" s="602"/>
    </x:row>
    <x:row r="60">
      <x:c r="A60" s="580" t="n">
        <x:v>46287</x:v>
      </x:c>
      <x:c r="B60" s="581" t="str">
        <x:v>Tues</x:v>
      </x:c>
      <x:c r="C60" s="581" t="n">
        <x:v>3</x:v>
      </x:c>
      <x:c r="D60" s="581" t="str">
        <x:v>CE 3224</x:v>
      </x:c>
      <x:c r="E60" s="581" t="str">
        <x:v>Regular</x:v>
      </x:c>
      <x:c r="F60" s="601" t="str">
        <x:v>MHI/MRA</x:v>
      </x:c>
      <x:c r="G60" s="601" t="str">
        <x:v>1-3 • 08:00 AM–10:30 AM</x:v>
      </x:c>
      <x:c r="H60" s="601" t="str">
        <x:v>Tue AM</x:v>
      </x:c>
      <x:c r="I60" s="601" t="str">
        <x:f>IF(E60="Extra",IF(AND(A60&lt;&gt;"",D60&lt;&gt;""),"Yes",""),IF(COUNTIF('Routine &amp; Holidays'!$M$8:$M$35,A60)&gt;0,"No",IF(D60="BECM 3204",IF(H60=Dashboard!$C$5,"Yes","No"),IF(D60="BECM 3208",IF(H60=Dashboard!$C$6,"Yes","No"),IF(D60="CE 3224",IF(H60=Dashboard!$C$7,"Yes","No"),IF(D60="BECM 3200",IF(Dashboard!$C$8="Every Week","Yes",IF(Dashboard!$C$8="Odd Weeks",IF(MOD(C60,2)=1,"Yes","No"),IF(MOD(C60,2)=0,"Yes","No"))),"Yes"))))))</x:f>
        <x:v>Yes</x:v>
      </x:c>
      <x:c r="J60" s="601"/>
      <x:c r="K60" s="601" t="str">
        <x:v>None</x:v>
      </x:c>
      <x:c r="L60" s="601"/>
      <x:c r="M60" s="601"/>
      <x:c r="N60" s="601"/>
      <x:c r="O60" s="602"/>
    </x:row>
    <x:row r="61">
      <x:c r="A61" s="580" t="n">
        <x:v>46287</x:v>
      </x:c>
      <x:c r="B61" s="581" t="str">
        <x:v>Tues</x:v>
      </x:c>
      <x:c r="C61" s="581" t="n">
        <x:v>3</x:v>
      </x:c>
      <x:c r="D61" s="581" t="str">
        <x:v>CE 3213</x:v>
      </x:c>
      <x:c r="E61" s="581" t="str">
        <x:v>Regular</x:v>
      </x:c>
      <x:c r="F61" s="601" t="str">
        <x:v>MKI</x:v>
      </x:c>
      <x:c r="G61" s="601" t="str">
        <x:v>5th • 11:30 AM–12:20 PM • Room 405</x:v>
      </x:c>
      <x:c r="H61" s="601" t="str">
        <x:v>TUES P5</x:v>
      </x:c>
      <x:c r="I61" s="601" t="str">
        <x:f>IF(E61="Extra",IF(AND(A61&lt;&gt;"",D61&lt;&gt;""),"Yes",""),IF(COUNTIF('Routine &amp; Holidays'!$M$8:$M$35,A61)&gt;0,"No",IF(D61="BECM 3204",IF(H61=Dashboard!$C$5,"Yes","No"),IF(D61="BECM 3208",IF(H61=Dashboard!$C$6,"Yes","No"),IF(D61="CE 3224",IF(H61=Dashboard!$C$7,"Yes","No"),IF(D61="BECM 3200",IF(Dashboard!$C$8="Every Week","Yes",IF(Dashboard!$C$8="Odd Weeks",IF(MOD(C61,2)=1,"Yes","No"),IF(MOD(C61,2)=0,"Yes","No"))),"Yes"))))))</x:f>
        <x:v>Yes</x:v>
      </x:c>
      <x:c r="J61" s="601"/>
      <x:c r="K61" s="601" t="str">
        <x:v>None</x:v>
      </x:c>
      <x:c r="L61" s="601"/>
      <x:c r="M61" s="601"/>
      <x:c r="N61" s="601"/>
      <x:c r="O61" s="602"/>
    </x:row>
    <x:row r="62">
      <x:c r="A62" s="580" t="n">
        <x:v>46287</x:v>
      </x:c>
      <x:c r="B62" s="581" t="str">
        <x:v>Tues</x:v>
      </x:c>
      <x:c r="C62" s="581" t="n">
        <x:v>3</x:v>
      </x:c>
      <x:c r="D62" s="581" t="str">
        <x:v>BECM 3201</x:v>
      </x:c>
      <x:c r="E62" s="581" t="str">
        <x:v>Regular</x:v>
      </x:c>
      <x:c r="F62" s="601" t="str">
        <x:v>MRA</x:v>
      </x:c>
      <x:c r="G62" s="601" t="str">
        <x:v>6th • 12:20 PM–01:10 PM • Room 405</x:v>
      </x:c>
      <x:c r="H62" s="601" t="str">
        <x:v>TUES P6</x:v>
      </x:c>
      <x:c r="I62" s="601" t="str">
        <x:f>IF(E62="Extra",IF(AND(A62&lt;&gt;"",D62&lt;&gt;""),"Yes",""),IF(COUNTIF('Routine &amp; Holidays'!$M$8:$M$35,A62)&gt;0,"No",IF(D62="BECM 3204",IF(H62=Dashboard!$C$5,"Yes","No"),IF(D62="BECM 3208",IF(H62=Dashboard!$C$6,"Yes","No"),IF(D62="CE 3224",IF(H62=Dashboard!$C$7,"Yes","No"),IF(D62="BECM 3200",IF(Dashboard!$C$8="Every Week","Yes",IF(Dashboard!$C$8="Odd Weeks",IF(MOD(C62,2)=1,"Yes","No"),IF(MOD(C62,2)=0,"Yes","No"))),"Yes"))))))</x:f>
        <x:v>Yes</x:v>
      </x:c>
      <x:c r="J62" s="601"/>
      <x:c r="K62" s="601" t="str">
        <x:v>None</x:v>
      </x:c>
      <x:c r="L62" s="601"/>
      <x:c r="M62" s="601"/>
      <x:c r="N62" s="601"/>
      <x:c r="O62" s="602"/>
    </x:row>
    <x:row r="63">
      <x:c r="A63" s="580" t="n">
        <x:v>46288</x:v>
      </x:c>
      <x:c r="B63" s="581" t="str">
        <x:v>Wed</x:v>
      </x:c>
      <x:c r="C63" s="581" t="n">
        <x:v>3</x:v>
      </x:c>
      <x:c r="D63" s="581" t="str">
        <x:v>BECM 3208</x:v>
      </x:c>
      <x:c r="E63" s="581" t="str">
        <x:v>Regular</x:v>
      </x:c>
      <x:c r="F63" s="601" t="str">
        <x:v>MSH/MSA</x:v>
      </x:c>
      <x:c r="G63" s="601" t="str">
        <x:v>7-9 • 02:30 PM–05:00 PM • Room 501</x:v>
      </x:c>
      <x:c r="H63" s="601" t="str">
        <x:v>Wed PM</x:v>
      </x:c>
      <x:c r="I63" s="601" t="str">
        <x:f>IF(E63="Extra",IF(AND(A63&lt;&gt;"",D63&lt;&gt;""),"Yes",""),IF(COUNTIF('Routine &amp; Holidays'!$M$8:$M$35,A63)&gt;0,"No",IF(D63="BECM 3204",IF(H63=Dashboard!$C$5,"Yes","No"),IF(D63="BECM 3208",IF(H63=Dashboard!$C$6,"Yes","No"),IF(D63="CE 3224",IF(H63=Dashboard!$C$7,"Yes","No"),IF(D63="BECM 3200",IF(Dashboard!$C$8="Every Week","Yes",IF(Dashboard!$C$8="Odd Weeks",IF(MOD(C63,2)=1,"Yes","No"),IF(MOD(C63,2)=0,"Yes","No"))),"Yes"))))))</x:f>
        <x:v>No</x:v>
      </x:c>
      <x:c r="J63" s="601"/>
      <x:c r="K63" s="601" t="str">
        <x:v>None</x:v>
      </x:c>
      <x:c r="L63" s="601"/>
      <x:c r="M63" s="601"/>
      <x:c r="N63" s="601"/>
      <x:c r="O63" s="602"/>
    </x:row>
    <x:row r="64">
      <x:c r="A64" s="580" t="n">
        <x:v>46288</x:v>
      </x:c>
      <x:c r="B64" s="581" t="str">
        <x:v>Wed</x:v>
      </x:c>
      <x:c r="C64" s="581" t="n">
        <x:v>3</x:v>
      </x:c>
      <x:c r="D64" s="581" t="str">
        <x:v>CE 3213</x:v>
      </x:c>
      <x:c r="E64" s="581" t="str">
        <x:v>Regular</x:v>
      </x:c>
      <x:c r="F64" s="601" t="str">
        <x:v>HRS/MKI</x:v>
      </x:c>
      <x:c r="G64" s="601" t="str">
        <x:v>3rd • 09:40 AM–10:30 AM • Room 501</x:v>
      </x:c>
      <x:c r="H64" s="601" t="str">
        <x:v>WED P3</x:v>
      </x:c>
      <x:c r="I64" s="601" t="str">
        <x:f>IF(E64="Extra",IF(AND(A64&lt;&gt;"",D64&lt;&gt;""),"Yes",""),IF(COUNTIF('Routine &amp; Holidays'!$M$8:$M$35,A64)&gt;0,"No",IF(D64="BECM 3204",IF(H64=Dashboard!$C$5,"Yes","No"),IF(D64="BECM 3208",IF(H64=Dashboard!$C$6,"Yes","No"),IF(D64="CE 3224",IF(H64=Dashboard!$C$7,"Yes","No"),IF(D64="BECM 3200",IF(Dashboard!$C$8="Every Week","Yes",IF(Dashboard!$C$8="Odd Weeks",IF(MOD(C64,2)=1,"Yes","No"),IF(MOD(C64,2)=0,"Yes","No"))),"Yes"))))))</x:f>
        <x:v>Yes</x:v>
      </x:c>
      <x:c r="J64" s="601"/>
      <x:c r="K64" s="601" t="str">
        <x:v>None</x:v>
      </x:c>
      <x:c r="L64" s="601"/>
      <x:c r="M64" s="601"/>
      <x:c r="N64" s="601"/>
      <x:c r="O64" s="602"/>
    </x:row>
    <x:row r="65">
      <x:c r="A65" s="580" t="n">
        <x:v>46288</x:v>
      </x:c>
      <x:c r="B65" s="581" t="str">
        <x:v>Wed</x:v>
      </x:c>
      <x:c r="C65" s="581" t="n">
        <x:v>3</x:v>
      </x:c>
      <x:c r="D65" s="581" t="str">
        <x:v>CE 3211</x:v>
      </x:c>
      <x:c r="E65" s="581" t="str">
        <x:v>Regular</x:v>
      </x:c>
      <x:c r="F65" s="601" t="str">
        <x:v>ATB</x:v>
      </x:c>
      <x:c r="G65" s="601" t="str">
        <x:v>4th • 10:40 AM–11:30 AM • Room 501</x:v>
      </x:c>
      <x:c r="H65" s="601" t="str">
        <x:v>WED P4</x:v>
      </x:c>
      <x:c r="I65" s="601" t="str">
        <x:f>IF(E65="Extra",IF(AND(A65&lt;&gt;"",D65&lt;&gt;""),"Yes",""),IF(COUNTIF('Routine &amp; Holidays'!$M$8:$M$35,A65)&gt;0,"No",IF(D65="BECM 3204",IF(H65=Dashboard!$C$5,"Yes","No"),IF(D65="BECM 3208",IF(H65=Dashboard!$C$6,"Yes","No"),IF(D65="CE 3224",IF(H65=Dashboard!$C$7,"Yes","No"),IF(D65="BECM 3200",IF(Dashboard!$C$8="Every Week","Yes",IF(Dashboard!$C$8="Odd Weeks",IF(MOD(C65,2)=1,"Yes","No"),IF(MOD(C65,2)=0,"Yes","No"))),"Yes"))))))</x:f>
        <x:v>Yes</x:v>
      </x:c>
      <x:c r="J65" s="601"/>
      <x:c r="K65" s="601" t="str">
        <x:v>None</x:v>
      </x:c>
      <x:c r="L65" s="601"/>
      <x:c r="M65" s="601"/>
      <x:c r="N65" s="601"/>
      <x:c r="O65" s="602"/>
    </x:row>
    <x:row r="66">
      <x:c r="A66" s="580" t="n">
        <x:v>46288</x:v>
      </x:c>
      <x:c r="B66" s="581" t="str">
        <x:v>Wed</x:v>
      </x:c>
      <x:c r="C66" s="581" t="n">
        <x:v>3</x:v>
      </x:c>
      <x:c r="D66" s="581" t="str">
        <x:v>CE 3223</x:v>
      </x:c>
      <x:c r="E66" s="581" t="str">
        <x:v>Regular</x:v>
      </x:c>
      <x:c r="F66" s="601" t="str">
        <x:v>MHI</x:v>
      </x:c>
      <x:c r="G66" s="601" t="str">
        <x:v>5th • 11:30 AM–12:20 PM • Room 501</x:v>
      </x:c>
      <x:c r="H66" s="601" t="str">
        <x:v>WED P5</x:v>
      </x:c>
      <x:c r="I66" s="601" t="str">
        <x:f>IF(E66="Extra",IF(AND(A66&lt;&gt;"",D66&lt;&gt;""),"Yes",""),IF(COUNTIF('Routine &amp; Holidays'!$M$8:$M$35,A66)&gt;0,"No",IF(D66="BECM 3204",IF(H66=Dashboard!$C$5,"Yes","No"),IF(D66="BECM 3208",IF(H66=Dashboard!$C$6,"Yes","No"),IF(D66="CE 3224",IF(H66=Dashboard!$C$7,"Yes","No"),IF(D66="BECM 3200",IF(Dashboard!$C$8="Every Week","Yes",IF(Dashboard!$C$8="Odd Weeks",IF(MOD(C66,2)=1,"Yes","No"),IF(MOD(C66,2)=0,"Yes","No"))),"Yes"))))))</x:f>
        <x:v>Yes</x:v>
      </x:c>
      <x:c r="J66" s="601"/>
      <x:c r="K66" s="601" t="str">
        <x:v>None</x:v>
      </x:c>
      <x:c r="L66" s="601"/>
      <x:c r="M66" s="601"/>
      <x:c r="N66" s="601"/>
      <x:c r="O66" s="602"/>
    </x:row>
    <x:row r="67">
      <x:c r="A67" s="580" t="n">
        <x:v>46288</x:v>
      </x:c>
      <x:c r="B67" s="581" t="str">
        <x:v>Wed</x:v>
      </x:c>
      <x:c r="C67" s="581" t="n">
        <x:v>3</x:v>
      </x:c>
      <x:c r="D67" s="581" t="str">
        <x:v>BECM 3205</x:v>
      </x:c>
      <x:c r="E67" s="581" t="str">
        <x:v>Regular</x:v>
      </x:c>
      <x:c r="F67" s="601" t="str">
        <x:v>MSH/AAM</x:v>
      </x:c>
      <x:c r="G67" s="601" t="str">
        <x:v>6th • 12:20 PM–01:10 PM • Room 501</x:v>
      </x:c>
      <x:c r="H67" s="601" t="str">
        <x:v>WED P6</x:v>
      </x:c>
      <x:c r="I67" s="601" t="str">
        <x:f>IF(E67="Extra",IF(AND(A67&lt;&gt;"",D67&lt;&gt;""),"Yes",""),IF(COUNTIF('Routine &amp; Holidays'!$M$8:$M$35,A67)&gt;0,"No",IF(D67="BECM 3204",IF(H67=Dashboard!$C$5,"Yes","No"),IF(D67="BECM 3208",IF(H67=Dashboard!$C$6,"Yes","No"),IF(D67="CE 3224",IF(H67=Dashboard!$C$7,"Yes","No"),IF(D67="BECM 3200",IF(Dashboard!$C$8="Every Week","Yes",IF(Dashboard!$C$8="Odd Weeks",IF(MOD(C67,2)=1,"Yes","No"),IF(MOD(C67,2)=0,"Yes","No"))),"Yes"))))))</x:f>
        <x:v>Yes</x:v>
      </x:c>
      <x:c r="J67" s="601"/>
      <x:c r="K67" s="601" t="str">
        <x:v>None</x:v>
      </x:c>
      <x:c r="L67" s="601"/>
      <x:c r="M67" s="601"/>
      <x:c r="N67" s="601"/>
      <x:c r="O67" s="602"/>
    </x:row>
    <x:row r="68">
      <x:c r="A68" s="580" t="n">
        <x:v>46289</x:v>
      </x:c>
      <x:c r="B68" s="581" t="str">
        <x:v>Thurs</x:v>
      </x:c>
      <x:c r="C68" s="581" t="n">
        <x:v>3</x:v>
      </x:c>
      <x:c r="D68" s="581" t="str">
        <x:v>CE 3224</x:v>
      </x:c>
      <x:c r="E68" s="581" t="str">
        <x:v>Regular</x:v>
      </x:c>
      <x:c r="F68" s="601" t="str">
        <x:v>MHI/MRA</x:v>
      </x:c>
      <x:c r="G68" s="601" t="str">
        <x:v>7-9 • 02:30 PM–05:00 PM • Room 405</x:v>
      </x:c>
      <x:c r="H68" s="601" t="str">
        <x:v>Thu PM</x:v>
      </x:c>
      <x:c r="I68" s="601" t="str">
        <x:f>IF(E68="Extra",IF(AND(A68&lt;&gt;"",D68&lt;&gt;""),"Yes",""),IF(COUNTIF('Routine &amp; Holidays'!$M$8:$M$35,A68)&gt;0,"No",IF(D68="BECM 3204",IF(H68=Dashboard!$C$5,"Yes","No"),IF(D68="BECM 3208",IF(H68=Dashboard!$C$6,"Yes","No"),IF(D68="CE 3224",IF(H68=Dashboard!$C$7,"Yes","No"),IF(D68="BECM 3200",IF(Dashboard!$C$8="Every Week","Yes",IF(Dashboard!$C$8="Odd Weeks",IF(MOD(C68,2)=1,"Yes","No"),IF(MOD(C68,2)=0,"Yes","No"))),"Yes"))))))</x:f>
        <x:v>No</x:v>
      </x:c>
      <x:c r="J68" s="601"/>
      <x:c r="K68" s="601" t="str">
        <x:v>None</x:v>
      </x:c>
      <x:c r="L68" s="601"/>
      <x:c r="M68" s="601"/>
      <x:c r="N68" s="601"/>
      <x:c r="O68" s="602"/>
    </x:row>
    <x:row r="69">
      <x:c r="A69" s="580" t="n">
        <x:v>46289</x:v>
      </x:c>
      <x:c r="B69" s="581" t="str">
        <x:v>Thurs</x:v>
      </x:c>
      <x:c r="C69" s="581" t="n">
        <x:v>3</x:v>
      </x:c>
      <x:c r="D69" s="581" t="str">
        <x:v>BECM 3204</x:v>
      </x:c>
      <x:c r="E69" s="581" t="str">
        <x:v>Regular</x:v>
      </x:c>
      <x:c r="F69" s="601" t="str">
        <x:v>HRS/MR</x:v>
      </x:c>
      <x:c r="G69" s="601" t="str">
        <x:v>1-3 • 08:00 AM–10:30 AM</x:v>
      </x:c>
      <x:c r="H69" s="601" t="str">
        <x:v>Thu AM</x:v>
      </x:c>
      <x:c r="I69" s="601" t="str">
        <x:f>IF(E69="Extra",IF(AND(A69&lt;&gt;"",D69&lt;&gt;""),"Yes",""),IF(COUNTIF('Routine &amp; Holidays'!$M$8:$M$35,A69)&gt;0,"No",IF(D69="BECM 3204",IF(H69=Dashboard!$C$5,"Yes","No"),IF(D69="BECM 3208",IF(H69=Dashboard!$C$6,"Yes","No"),IF(D69="CE 3224",IF(H69=Dashboard!$C$7,"Yes","No"),IF(D69="BECM 3200",IF(Dashboard!$C$8="Every Week","Yes",IF(Dashboard!$C$8="Odd Weeks",IF(MOD(C69,2)=1,"Yes","No"),IF(MOD(C69,2)=0,"Yes","No"))),"Yes"))))))</x:f>
        <x:v>No</x:v>
      </x:c>
      <x:c r="J69" s="601"/>
      <x:c r="K69" s="601" t="str">
        <x:v>None</x:v>
      </x:c>
      <x:c r="L69" s="601"/>
      <x:c r="M69" s="601"/>
      <x:c r="N69" s="601"/>
      <x:c r="O69" s="602"/>
    </x:row>
    <x:row r="70">
      <x:c r="A70" s="580" t="n">
        <x:v>46289</x:v>
      </x:c>
      <x:c r="B70" s="581" t="str">
        <x:v>Thurs</x:v>
      </x:c>
      <x:c r="C70" s="581" t="n">
        <x:v>3</x:v>
      </x:c>
      <x:c r="D70" s="581" t="str">
        <x:v>BECM 3205</x:v>
      </x:c>
      <x:c r="E70" s="581" t="str">
        <x:v>Regular</x:v>
      </x:c>
      <x:c r="F70" s="601" t="str">
        <x:v>MSH</x:v>
      </x:c>
      <x:c r="G70" s="601" t="str">
        <x:v>4th • 10:40 AM–11:30 AM • Room 406</x:v>
      </x:c>
      <x:c r="H70" s="601" t="str">
        <x:v>THURS P4</x:v>
      </x:c>
      <x:c r="I70" s="601" t="str">
        <x:f>IF(E70="Extra",IF(AND(A70&lt;&gt;"",D70&lt;&gt;""),"Yes",""),IF(COUNTIF('Routine &amp; Holidays'!$M$8:$M$35,A70)&gt;0,"No",IF(D70="BECM 3204",IF(H70=Dashboard!$C$5,"Yes","No"),IF(D70="BECM 3208",IF(H70=Dashboard!$C$6,"Yes","No"),IF(D70="CE 3224",IF(H70=Dashboard!$C$7,"Yes","No"),IF(D70="BECM 3200",IF(Dashboard!$C$8="Every Week","Yes",IF(Dashboard!$C$8="Odd Weeks",IF(MOD(C70,2)=1,"Yes","No"),IF(MOD(C70,2)=0,"Yes","No"))),"Yes"))))))</x:f>
        <x:v>Yes</x:v>
      </x:c>
      <x:c r="J70" s="601"/>
      <x:c r="K70" s="601" t="str">
        <x:v>None</x:v>
      </x:c>
      <x:c r="L70" s="601"/>
      <x:c r="M70" s="601"/>
      <x:c r="N70" s="601"/>
      <x:c r="O70" s="602"/>
    </x:row>
    <x:row r="71">
      <x:c r="A71" s="580" t="n">
        <x:v>46289</x:v>
      </x:c>
      <x:c r="B71" s="581" t="str">
        <x:v>Thurs</x:v>
      </x:c>
      <x:c r="C71" s="581" t="n">
        <x:v>3</x:v>
      </x:c>
      <x:c r="D71" s="581" t="str">
        <x:v>CE 3211</x:v>
      </x:c>
      <x:c r="E71" s="581" t="str">
        <x:v>Regular</x:v>
      </x:c>
      <x:c r="F71" s="601" t="str">
        <x:v>MKI/ATB</x:v>
      </x:c>
      <x:c r="G71" s="601" t="str">
        <x:v>5th • 11:30 AM–12:20 PM • Room 406</x:v>
      </x:c>
      <x:c r="H71" s="601" t="str">
        <x:v>THURS P5</x:v>
      </x:c>
      <x:c r="I71" s="601" t="str">
        <x:f>IF(E71="Extra",IF(AND(A71&lt;&gt;"",D71&lt;&gt;""),"Yes",""),IF(COUNTIF('Routine &amp; Holidays'!$M$8:$M$35,A71)&gt;0,"No",IF(D71="BECM 3204",IF(H71=Dashboard!$C$5,"Yes","No"),IF(D71="BECM 3208",IF(H71=Dashboard!$C$6,"Yes","No"),IF(D71="CE 3224",IF(H71=Dashboard!$C$7,"Yes","No"),IF(D71="BECM 3200",IF(Dashboard!$C$8="Every Week","Yes",IF(Dashboard!$C$8="Odd Weeks",IF(MOD(C71,2)=1,"Yes","No"),IF(MOD(C71,2)=0,"Yes","No"))),"Yes"))))))</x:f>
        <x:v>Yes</x:v>
      </x:c>
      <x:c r="J71" s="601"/>
      <x:c r="K71" s="601" t="str">
        <x:v>None</x:v>
      </x:c>
      <x:c r="L71" s="601"/>
      <x:c r="M71" s="601"/>
      <x:c r="N71" s="601"/>
      <x:c r="O71" s="602"/>
    </x:row>
    <x:row r="72">
      <x:c r="A72" s="580" t="n">
        <x:v>46289</x:v>
      </x:c>
      <x:c r="B72" s="581" t="str">
        <x:v>Thurs</x:v>
      </x:c>
      <x:c r="C72" s="581" t="n">
        <x:v>3</x:v>
      </x:c>
      <x:c r="D72" s="581" t="str">
        <x:v>BECM 3201</x:v>
      </x:c>
      <x:c r="E72" s="581" t="str">
        <x:v>Regular</x:v>
      </x:c>
      <x:c r="F72" s="601" t="str">
        <x:v>MR/MRA</x:v>
      </x:c>
      <x:c r="G72" s="601" t="str">
        <x:v>6th • 12:20 PM–01:10 PM • Room 406</x:v>
      </x:c>
      <x:c r="H72" s="601" t="str">
        <x:v>THURS P6</x:v>
      </x:c>
      <x:c r="I72" s="601" t="str">
        <x:f>IF(E72="Extra",IF(AND(A72&lt;&gt;"",D72&lt;&gt;""),"Yes",""),IF(COUNTIF('Routine &amp; Holidays'!$M$8:$M$35,A72)&gt;0,"No",IF(D72="BECM 3204",IF(H72=Dashboard!$C$5,"Yes","No"),IF(D72="BECM 3208",IF(H72=Dashboard!$C$6,"Yes","No"),IF(D72="CE 3224",IF(H72=Dashboard!$C$7,"Yes","No"),IF(D72="BECM 3200",IF(Dashboard!$C$8="Every Week","Yes",IF(Dashboard!$C$8="Odd Weeks",IF(MOD(C72,2)=1,"Yes","No"),IF(MOD(C72,2)=0,"Yes","No"))),"Yes"))))))</x:f>
        <x:v>Yes</x:v>
      </x:c>
      <x:c r="J72" s="601"/>
      <x:c r="K72" s="601" t="str">
        <x:v>None</x:v>
      </x:c>
      <x:c r="L72" s="601"/>
      <x:c r="M72" s="601"/>
      <x:c r="N72" s="601"/>
      <x:c r="O72" s="602"/>
    </x:row>
    <x:row r="73">
      <x:c r="A73" s="580" t="n">
        <x:v>46292</x:v>
      </x:c>
      <x:c r="B73" s="581" t="str">
        <x:v>Sun</x:v>
      </x:c>
      <x:c r="C73" s="581" t="n">
        <x:v>4</x:v>
      </x:c>
      <x:c r="D73" s="581" t="str">
        <x:v>BECM 3204</x:v>
      </x:c>
      <x:c r="E73" s="581" t="str">
        <x:v>Regular</x:v>
      </x:c>
      <x:c r="F73" s="601" t="str">
        <x:v>HRS/MR</x:v>
      </x:c>
      <x:c r="G73" s="601" t="str">
        <x:v>7-9 • 02:30 PM–05:00 PM • Room 404</x:v>
      </x:c>
      <x:c r="H73" s="601" t="str">
        <x:v>Sun PM</x:v>
      </x:c>
      <x:c r="I73" s="601" t="str">
        <x:f>IF(E73="Extra",IF(AND(A73&lt;&gt;"",D73&lt;&gt;""),"Yes",""),IF(COUNTIF('Routine &amp; Holidays'!$M$8:$M$35,A73)&gt;0,"No",IF(D73="BECM 3204",IF(H73=Dashboard!$C$5,"Yes","No"),IF(D73="BECM 3208",IF(H73=Dashboard!$C$6,"Yes","No"),IF(D73="CE 3224",IF(H73=Dashboard!$C$7,"Yes","No"),IF(D73="BECM 3200",IF(Dashboard!$C$8="Every Week","Yes",IF(Dashboard!$C$8="Odd Weeks",IF(MOD(C73,2)=1,"Yes","No"),IF(MOD(C73,2)=0,"Yes","No"))),"Yes"))))))</x:f>
        <x:v>Yes</x:v>
      </x:c>
      <x:c r="J73" s="601"/>
      <x:c r="K73" s="601" t="str">
        <x:v>None</x:v>
      </x:c>
      <x:c r="L73" s="601"/>
      <x:c r="M73" s="601"/>
      <x:c r="N73" s="601"/>
      <x:c r="O73" s="602"/>
    </x:row>
    <x:row r="74">
      <x:c r="A74" s="580" t="n">
        <x:v>46292</x:v>
      </x:c>
      <x:c r="B74" s="581" t="str">
        <x:v>Sun</x:v>
      </x:c>
      <x:c r="C74" s="581" t="n">
        <x:v>4</x:v>
      </x:c>
      <x:c r="D74" s="581" t="str">
        <x:v>CE 3213</x:v>
      </x:c>
      <x:c r="E74" s="581" t="str">
        <x:v>Regular</x:v>
      </x:c>
      <x:c r="F74" s="601" t="str">
        <x:v>HRS</x:v>
      </x:c>
      <x:c r="G74" s="601" t="str">
        <x:v>4th • 10:40 AM–11:30 AM • Room 501</x:v>
      </x:c>
      <x:c r="H74" s="601" t="str">
        <x:v>SUN P4</x:v>
      </x:c>
      <x:c r="I74" s="601" t="str">
        <x:f>IF(E74="Extra",IF(AND(A74&lt;&gt;"",D74&lt;&gt;""),"Yes",""),IF(COUNTIF('Routine &amp; Holidays'!$M$8:$M$35,A74)&gt;0,"No",IF(D74="BECM 3204",IF(H74=Dashboard!$C$5,"Yes","No"),IF(D74="BECM 3208",IF(H74=Dashboard!$C$6,"Yes","No"),IF(D74="CE 3224",IF(H74=Dashboard!$C$7,"Yes","No"),IF(D74="BECM 3200",IF(Dashboard!$C$8="Every Week","Yes",IF(Dashboard!$C$8="Odd Weeks",IF(MOD(C74,2)=1,"Yes","No"),IF(MOD(C74,2)=0,"Yes","No"))),"Yes"))))))</x:f>
        <x:v>Yes</x:v>
      </x:c>
      <x:c r="J74" s="601"/>
      <x:c r="K74" s="601" t="str">
        <x:v>None</x:v>
      </x:c>
      <x:c r="L74" s="601"/>
      <x:c r="M74" s="601"/>
      <x:c r="N74" s="601"/>
      <x:c r="O74" s="602"/>
    </x:row>
    <x:row r="75">
      <x:c r="A75" s="580" t="n">
        <x:v>46292</x:v>
      </x:c>
      <x:c r="B75" s="581" t="str">
        <x:v>Sun</x:v>
      </x:c>
      <x:c r="C75" s="581" t="n">
        <x:v>4</x:v>
      </x:c>
      <x:c r="D75" s="581" t="str">
        <x:v>CE 3223</x:v>
      </x:c>
      <x:c r="E75" s="581" t="str">
        <x:v>Regular</x:v>
      </x:c>
      <x:c r="F75" s="601" t="str">
        <x:v>MSA</x:v>
      </x:c>
      <x:c r="G75" s="601" t="str">
        <x:v>5th • 11:30 AM–12:20 PM • Room 501</x:v>
      </x:c>
      <x:c r="H75" s="601" t="str">
        <x:v>SUN P5</x:v>
      </x:c>
      <x:c r="I75" s="601" t="str">
        <x:f>IF(E75="Extra",IF(AND(A75&lt;&gt;"",D75&lt;&gt;""),"Yes",""),IF(COUNTIF('Routine &amp; Holidays'!$M$8:$M$35,A75)&gt;0,"No",IF(D75="BECM 3204",IF(H75=Dashboard!$C$5,"Yes","No"),IF(D75="BECM 3208",IF(H75=Dashboard!$C$6,"Yes","No"),IF(D75="CE 3224",IF(H75=Dashboard!$C$7,"Yes","No"),IF(D75="BECM 3200",IF(Dashboard!$C$8="Every Week","Yes",IF(Dashboard!$C$8="Odd Weeks",IF(MOD(C75,2)=1,"Yes","No"),IF(MOD(C75,2)=0,"Yes","No"))),"Yes"))))))</x:f>
        <x:v>Yes</x:v>
      </x:c>
      <x:c r="J75" s="601"/>
      <x:c r="K75" s="601" t="str">
        <x:v>None</x:v>
      </x:c>
      <x:c r="L75" s="601"/>
      <x:c r="M75" s="601"/>
      <x:c r="N75" s="601"/>
      <x:c r="O75" s="602"/>
    </x:row>
    <x:row r="76">
      <x:c r="A76" s="580" t="n">
        <x:v>46292</x:v>
      </x:c>
      <x:c r="B76" s="581" t="str">
        <x:v>Sun</x:v>
      </x:c>
      <x:c r="C76" s="581" t="n">
        <x:v>4</x:v>
      </x:c>
      <x:c r="D76" s="581" t="str">
        <x:v>CE 3211</x:v>
      </x:c>
      <x:c r="E76" s="581" t="str">
        <x:v>Regular</x:v>
      </x:c>
      <x:c r="F76" s="601" t="str">
        <x:v>MKI</x:v>
      </x:c>
      <x:c r="G76" s="601" t="str">
        <x:v>6th • 12:20 PM–01:10 PM • Room 501</x:v>
      </x:c>
      <x:c r="H76" s="601" t="str">
        <x:v>SUN P6</x:v>
      </x:c>
      <x:c r="I76" s="601" t="str">
        <x:f>IF(E76="Extra",IF(AND(A76&lt;&gt;"",D76&lt;&gt;""),"Yes",""),IF(COUNTIF('Routine &amp; Holidays'!$M$8:$M$35,A76)&gt;0,"No",IF(D76="BECM 3204",IF(H76=Dashboard!$C$5,"Yes","No"),IF(D76="BECM 3208",IF(H76=Dashboard!$C$6,"Yes","No"),IF(D76="CE 3224",IF(H76=Dashboard!$C$7,"Yes","No"),IF(D76="BECM 3200",IF(Dashboard!$C$8="Every Week","Yes",IF(Dashboard!$C$8="Odd Weeks",IF(MOD(C76,2)=1,"Yes","No"),IF(MOD(C76,2)=0,"Yes","No"))),"Yes"))))))</x:f>
        <x:v>Yes</x:v>
      </x:c>
      <x:c r="J76" s="601"/>
      <x:c r="K76" s="601" t="str">
        <x:v>None</x:v>
      </x:c>
      <x:c r="L76" s="601"/>
      <x:c r="M76" s="601"/>
      <x:c r="N76" s="601"/>
      <x:c r="O76" s="602"/>
    </x:row>
    <x:row r="77">
      <x:c r="A77" s="580" t="n">
        <x:v>46293</x:v>
      </x:c>
      <x:c r="B77" s="581" t="str">
        <x:v>Mon</x:v>
      </x:c>
      <x:c r="C77" s="581" t="n">
        <x:v>4</x:v>
      </x:c>
      <x:c r="D77" s="581" t="str">
        <x:v>BECM 3200</x:v>
      </x:c>
      <x:c r="E77" s="581" t="str">
        <x:v>Regular</x:v>
      </x:c>
      <x:c r="F77" s="601" t="str">
        <x:v>ALL</x:v>
      </x:c>
      <x:c r="G77" s="601" t="str">
        <x:v>7-9 • 02:30 PM–05:00 PM</x:v>
      </x:c>
      <x:c r="H77" s="601" t="str">
        <x:v>Mon PM</x:v>
      </x:c>
      <x:c r="I77" s="601" t="str">
        <x:f>IF(E77="Extra",IF(AND(A77&lt;&gt;"",D77&lt;&gt;""),"Yes",""),IF(COUNTIF('Routine &amp; Holidays'!$M$8:$M$35,A77)&gt;0,"No",IF(D77="BECM 3204",IF(H77=Dashboard!$C$5,"Yes","No"),IF(D77="BECM 3208",IF(H77=Dashboard!$C$6,"Yes","No"),IF(D77="CE 3224",IF(H77=Dashboard!$C$7,"Yes","No"),IF(D77="BECM 3200",IF(Dashboard!$C$8="Every Week","Yes",IF(Dashboard!$C$8="Odd Weeks",IF(MOD(C77,2)=1,"Yes","No"),IF(MOD(C77,2)=0,"Yes","No"))),"Yes"))))))</x:f>
        <x:v>No</x:v>
      </x:c>
      <x:c r="J77" s="601"/>
      <x:c r="K77" s="601" t="str">
        <x:v>None</x:v>
      </x:c>
      <x:c r="L77" s="601"/>
      <x:c r="M77" s="601"/>
      <x:c r="N77" s="601"/>
      <x:c r="O77" s="602"/>
    </x:row>
    <x:row r="78">
      <x:c r="A78" s="580" t="n">
        <x:v>46293</x:v>
      </x:c>
      <x:c r="B78" s="581" t="str">
        <x:v>Mon</x:v>
      </x:c>
      <x:c r="C78" s="581" t="n">
        <x:v>4</x:v>
      </x:c>
      <x:c r="D78" s="581" t="str">
        <x:v>CE 3223</x:v>
      </x:c>
      <x:c r="E78" s="581" t="str">
        <x:v>Regular</x:v>
      </x:c>
      <x:c r="F78" s="601" t="str">
        <x:v>MHI/MSA</x:v>
      </x:c>
      <x:c r="G78" s="601" t="str">
        <x:v>3rd • 09:40 AM–10:30 AM • Room 404</x:v>
      </x:c>
      <x:c r="H78" s="601" t="str">
        <x:v>MON P3</x:v>
      </x:c>
      <x:c r="I78" s="601" t="str">
        <x:f>IF(E78="Extra",IF(AND(A78&lt;&gt;"",D78&lt;&gt;""),"Yes",""),IF(COUNTIF('Routine &amp; Holidays'!$M$8:$M$35,A78)&gt;0,"No",IF(D78="BECM 3204",IF(H78=Dashboard!$C$5,"Yes","No"),IF(D78="BECM 3208",IF(H78=Dashboard!$C$6,"Yes","No"),IF(D78="CE 3224",IF(H78=Dashboard!$C$7,"Yes","No"),IF(D78="BECM 3200",IF(Dashboard!$C$8="Every Week","Yes",IF(Dashboard!$C$8="Odd Weeks",IF(MOD(C78,2)=1,"Yes","No"),IF(MOD(C78,2)=0,"Yes","No"))),"Yes"))))))</x:f>
        <x:v>Yes</x:v>
      </x:c>
      <x:c r="J78" s="601"/>
      <x:c r="K78" s="601" t="str">
        <x:v>None</x:v>
      </x:c>
      <x:c r="L78" s="601"/>
      <x:c r="M78" s="601"/>
      <x:c r="N78" s="601"/>
      <x:c r="O78" s="602"/>
    </x:row>
    <x:row r="79">
      <x:c r="A79" s="580" t="n">
        <x:v>46293</x:v>
      </x:c>
      <x:c r="B79" s="581" t="str">
        <x:v>Mon</x:v>
      </x:c>
      <x:c r="C79" s="581" t="n">
        <x:v>4</x:v>
      </x:c>
      <x:c r="D79" s="581" t="str">
        <x:v>BECM 3201</x:v>
      </x:c>
      <x:c r="E79" s="581" t="str">
        <x:v>Regular</x:v>
      </x:c>
      <x:c r="F79" s="601" t="str">
        <x:v>MR</x:v>
      </x:c>
      <x:c r="G79" s="601" t="str">
        <x:v>5th • 11:30 AM–12:20 PM • Room 405</x:v>
      </x:c>
      <x:c r="H79" s="601" t="str">
        <x:v>MON P5</x:v>
      </x:c>
      <x:c r="I79" s="601" t="str">
        <x:f>IF(E79="Extra",IF(AND(A79&lt;&gt;"",D79&lt;&gt;""),"Yes",""),IF(COUNTIF('Routine &amp; Holidays'!$M$8:$M$35,A79)&gt;0,"No",IF(D79="BECM 3204",IF(H79=Dashboard!$C$5,"Yes","No"),IF(D79="BECM 3208",IF(H79=Dashboard!$C$6,"Yes","No"),IF(D79="CE 3224",IF(H79=Dashboard!$C$7,"Yes","No"),IF(D79="BECM 3200",IF(Dashboard!$C$8="Every Week","Yes",IF(Dashboard!$C$8="Odd Weeks",IF(MOD(C79,2)=1,"Yes","No"),IF(MOD(C79,2)=0,"Yes","No"))),"Yes"))))))</x:f>
        <x:v>Yes</x:v>
      </x:c>
      <x:c r="J79" s="601"/>
      <x:c r="K79" s="601" t="str">
        <x:v>None</x:v>
      </x:c>
      <x:c r="L79" s="601"/>
      <x:c r="M79" s="601"/>
      <x:c r="N79" s="601"/>
      <x:c r="O79" s="602"/>
    </x:row>
    <x:row r="80">
      <x:c r="A80" s="580" t="n">
        <x:v>46293</x:v>
      </x:c>
      <x:c r="B80" s="581" t="str">
        <x:v>Mon</x:v>
      </x:c>
      <x:c r="C80" s="581" t="n">
        <x:v>4</x:v>
      </x:c>
      <x:c r="D80" s="581" t="str">
        <x:v>BECM 3205</x:v>
      </x:c>
      <x:c r="E80" s="581" t="str">
        <x:v>Regular</x:v>
      </x:c>
      <x:c r="F80" s="601" t="str">
        <x:v>AAM</x:v>
      </x:c>
      <x:c r="G80" s="601" t="str">
        <x:v>6th • 12:20 PM–01:10 PM • Room 405</x:v>
      </x:c>
      <x:c r="H80" s="601" t="str">
        <x:v>MON P6</x:v>
      </x:c>
      <x:c r="I80" s="601" t="str">
        <x:f>IF(E80="Extra",IF(AND(A80&lt;&gt;"",D80&lt;&gt;""),"Yes",""),IF(COUNTIF('Routine &amp; Holidays'!$M$8:$M$35,A80)&gt;0,"No",IF(D80="BECM 3204",IF(H80=Dashboard!$C$5,"Yes","No"),IF(D80="BECM 3208",IF(H80=Dashboard!$C$6,"Yes","No"),IF(D80="CE 3224",IF(H80=Dashboard!$C$7,"Yes","No"),IF(D80="BECM 3200",IF(Dashboard!$C$8="Every Week","Yes",IF(Dashboard!$C$8="Odd Weeks",IF(MOD(C80,2)=1,"Yes","No"),IF(MOD(C80,2)=0,"Yes","No"))),"Yes"))))))</x:f>
        <x:v>Yes</x:v>
      </x:c>
      <x:c r="J80" s="601"/>
      <x:c r="K80" s="601" t="str">
        <x:v>None</x:v>
      </x:c>
      <x:c r="L80" s="601"/>
      <x:c r="M80" s="601"/>
      <x:c r="N80" s="601"/>
      <x:c r="O80" s="602"/>
    </x:row>
    <x:row r="81">
      <x:c r="A81" s="580" t="n">
        <x:v>46294</x:v>
      </x:c>
      <x:c r="B81" s="581" t="str">
        <x:v>Tues</x:v>
      </x:c>
      <x:c r="C81" s="581" t="n">
        <x:v>4</x:v>
      </x:c>
      <x:c r="D81" s="581" t="str">
        <x:v>BECM 3208</x:v>
      </x:c>
      <x:c r="E81" s="581" t="str">
        <x:v>Regular</x:v>
      </x:c>
      <x:c r="F81" s="601" t="str">
        <x:v>MSH/MSA</x:v>
      </x:c>
      <x:c r="G81" s="601" t="str">
        <x:v>7-9 • 02:30 PM–05:00 PM</x:v>
      </x:c>
      <x:c r="H81" s="601" t="str">
        <x:v>Tue PM</x:v>
      </x:c>
      <x:c r="I81" s="601" t="str">
        <x:f>IF(E81="Extra",IF(AND(A81&lt;&gt;"",D81&lt;&gt;""),"Yes",""),IF(COUNTIF('Routine &amp; Holidays'!$M$8:$M$35,A81)&gt;0,"No",IF(D81="BECM 3204",IF(H81=Dashboard!$C$5,"Yes","No"),IF(D81="BECM 3208",IF(H81=Dashboard!$C$6,"Yes","No"),IF(D81="CE 3224",IF(H81=Dashboard!$C$7,"Yes","No"),IF(D81="BECM 3200",IF(Dashboard!$C$8="Every Week","Yes",IF(Dashboard!$C$8="Odd Weeks",IF(MOD(C81,2)=1,"Yes","No"),IF(MOD(C81,2)=0,"Yes","No"))),"Yes"))))))</x:f>
        <x:v>Yes</x:v>
      </x:c>
      <x:c r="J81" s="601"/>
      <x:c r="K81" s="601" t="str">
        <x:v>None</x:v>
      </x:c>
      <x:c r="L81" s="601"/>
      <x:c r="M81" s="601"/>
      <x:c r="N81" s="601"/>
      <x:c r="O81" s="602"/>
    </x:row>
    <x:row r="82">
      <x:c r="A82" s="580" t="n">
        <x:v>46294</x:v>
      </x:c>
      <x:c r="B82" s="581" t="str">
        <x:v>Tues</x:v>
      </x:c>
      <x:c r="C82" s="581" t="n">
        <x:v>4</x:v>
      </x:c>
      <x:c r="D82" s="581" t="str">
        <x:v>CE 3224</x:v>
      </x:c>
      <x:c r="E82" s="581" t="str">
        <x:v>Regular</x:v>
      </x:c>
      <x:c r="F82" s="601" t="str">
        <x:v>MHI/MRA</x:v>
      </x:c>
      <x:c r="G82" s="601" t="str">
        <x:v>1-3 • 08:00 AM–10:30 AM</x:v>
      </x:c>
      <x:c r="H82" s="601" t="str">
        <x:v>Tue AM</x:v>
      </x:c>
      <x:c r="I82" s="601" t="str">
        <x:f>IF(E82="Extra",IF(AND(A82&lt;&gt;"",D82&lt;&gt;""),"Yes",""),IF(COUNTIF('Routine &amp; Holidays'!$M$8:$M$35,A82)&gt;0,"No",IF(D82="BECM 3204",IF(H82=Dashboard!$C$5,"Yes","No"),IF(D82="BECM 3208",IF(H82=Dashboard!$C$6,"Yes","No"),IF(D82="CE 3224",IF(H82=Dashboard!$C$7,"Yes","No"),IF(D82="BECM 3200",IF(Dashboard!$C$8="Every Week","Yes",IF(Dashboard!$C$8="Odd Weeks",IF(MOD(C82,2)=1,"Yes","No"),IF(MOD(C82,2)=0,"Yes","No"))),"Yes"))))))</x:f>
        <x:v>Yes</x:v>
      </x:c>
      <x:c r="J82" s="601"/>
      <x:c r="K82" s="601" t="str">
        <x:v>None</x:v>
      </x:c>
      <x:c r="L82" s="601"/>
      <x:c r="M82" s="601"/>
      <x:c r="N82" s="601"/>
      <x:c r="O82" s="602"/>
    </x:row>
    <x:row r="83">
      <x:c r="A83" s="580" t="n">
        <x:v>46294</x:v>
      </x:c>
      <x:c r="B83" s="581" t="str">
        <x:v>Tues</x:v>
      </x:c>
      <x:c r="C83" s="581" t="n">
        <x:v>4</x:v>
      </x:c>
      <x:c r="D83" s="581" t="str">
        <x:v>CE 3213</x:v>
      </x:c>
      <x:c r="E83" s="581" t="str">
        <x:v>Regular</x:v>
      </x:c>
      <x:c r="F83" s="601" t="str">
        <x:v>MKI</x:v>
      </x:c>
      <x:c r="G83" s="601" t="str">
        <x:v>5th • 11:30 AM–12:20 PM • Room 405</x:v>
      </x:c>
      <x:c r="H83" s="601" t="str">
        <x:v>TUES P5</x:v>
      </x:c>
      <x:c r="I83" s="601" t="str">
        <x:f>IF(E83="Extra",IF(AND(A83&lt;&gt;"",D83&lt;&gt;""),"Yes",""),IF(COUNTIF('Routine &amp; Holidays'!$M$8:$M$35,A83)&gt;0,"No",IF(D83="BECM 3204",IF(H83=Dashboard!$C$5,"Yes","No"),IF(D83="BECM 3208",IF(H83=Dashboard!$C$6,"Yes","No"),IF(D83="CE 3224",IF(H83=Dashboard!$C$7,"Yes","No"),IF(D83="BECM 3200",IF(Dashboard!$C$8="Every Week","Yes",IF(Dashboard!$C$8="Odd Weeks",IF(MOD(C83,2)=1,"Yes","No"),IF(MOD(C83,2)=0,"Yes","No"))),"Yes"))))))</x:f>
        <x:v>Yes</x:v>
      </x:c>
      <x:c r="J83" s="601"/>
      <x:c r="K83" s="601" t="str">
        <x:v>None</x:v>
      </x:c>
      <x:c r="L83" s="601"/>
      <x:c r="M83" s="601"/>
      <x:c r="N83" s="601"/>
      <x:c r="O83" s="602"/>
    </x:row>
    <x:row r="84">
      <x:c r="A84" s="580" t="n">
        <x:v>46294</x:v>
      </x:c>
      <x:c r="B84" s="581" t="str">
        <x:v>Tues</x:v>
      </x:c>
      <x:c r="C84" s="581" t="n">
        <x:v>4</x:v>
      </x:c>
      <x:c r="D84" s="581" t="str">
        <x:v>BECM 3201</x:v>
      </x:c>
      <x:c r="E84" s="581" t="str">
        <x:v>Regular</x:v>
      </x:c>
      <x:c r="F84" s="601" t="str">
        <x:v>MRA</x:v>
      </x:c>
      <x:c r="G84" s="601" t="str">
        <x:v>6th • 12:20 PM–01:10 PM • Room 405</x:v>
      </x:c>
      <x:c r="H84" s="601" t="str">
        <x:v>TUES P6</x:v>
      </x:c>
      <x:c r="I84" s="601" t="str">
        <x:f>IF(E84="Extra",IF(AND(A84&lt;&gt;"",D84&lt;&gt;""),"Yes",""),IF(COUNTIF('Routine &amp; Holidays'!$M$8:$M$35,A84)&gt;0,"No",IF(D84="BECM 3204",IF(H84=Dashboard!$C$5,"Yes","No"),IF(D84="BECM 3208",IF(H84=Dashboard!$C$6,"Yes","No"),IF(D84="CE 3224",IF(H84=Dashboard!$C$7,"Yes","No"),IF(D84="BECM 3200",IF(Dashboard!$C$8="Every Week","Yes",IF(Dashboard!$C$8="Odd Weeks",IF(MOD(C84,2)=1,"Yes","No"),IF(MOD(C84,2)=0,"Yes","No"))),"Yes"))))))</x:f>
        <x:v>Yes</x:v>
      </x:c>
      <x:c r="J84" s="601"/>
      <x:c r="K84" s="601" t="str">
        <x:v>None</x:v>
      </x:c>
      <x:c r="L84" s="601"/>
      <x:c r="M84" s="601"/>
      <x:c r="N84" s="601"/>
      <x:c r="O84" s="602"/>
    </x:row>
    <x:row r="85">
      <x:c r="A85" s="580" t="n">
        <x:v>46295</x:v>
      </x:c>
      <x:c r="B85" s="581" t="str">
        <x:v>Wed</x:v>
      </x:c>
      <x:c r="C85" s="581" t="n">
        <x:v>4</x:v>
      </x:c>
      <x:c r="D85" s="581" t="str">
        <x:v>BECM 3208</x:v>
      </x:c>
      <x:c r="E85" s="581" t="str">
        <x:v>Regular</x:v>
      </x:c>
      <x:c r="F85" s="601" t="str">
        <x:v>MSH/MSA</x:v>
      </x:c>
      <x:c r="G85" s="601" t="str">
        <x:v>7-9 • 02:30 PM–05:00 PM • Room 501</x:v>
      </x:c>
      <x:c r="H85" s="601" t="str">
        <x:v>Wed PM</x:v>
      </x:c>
      <x:c r="I85" s="601" t="str">
        <x:f>IF(E85="Extra",IF(AND(A85&lt;&gt;"",D85&lt;&gt;""),"Yes",""),IF(COUNTIF('Routine &amp; Holidays'!$M$8:$M$35,A85)&gt;0,"No",IF(D85="BECM 3204",IF(H85=Dashboard!$C$5,"Yes","No"),IF(D85="BECM 3208",IF(H85=Dashboard!$C$6,"Yes","No"),IF(D85="CE 3224",IF(H85=Dashboard!$C$7,"Yes","No"),IF(D85="BECM 3200",IF(Dashboard!$C$8="Every Week","Yes",IF(Dashboard!$C$8="Odd Weeks",IF(MOD(C85,2)=1,"Yes","No"),IF(MOD(C85,2)=0,"Yes","No"))),"Yes"))))))</x:f>
        <x:v>No</x:v>
      </x:c>
      <x:c r="J85" s="601"/>
      <x:c r="K85" s="601" t="str">
        <x:v>None</x:v>
      </x:c>
      <x:c r="L85" s="601"/>
      <x:c r="M85" s="601"/>
      <x:c r="N85" s="601"/>
      <x:c r="O85" s="602"/>
    </x:row>
    <x:row r="86">
      <x:c r="A86" s="580" t="n">
        <x:v>46295</x:v>
      </x:c>
      <x:c r="B86" s="581" t="str">
        <x:v>Wed</x:v>
      </x:c>
      <x:c r="C86" s="581" t="n">
        <x:v>4</x:v>
      </x:c>
      <x:c r="D86" s="581" t="str">
        <x:v>CE 3213</x:v>
      </x:c>
      <x:c r="E86" s="581" t="str">
        <x:v>Regular</x:v>
      </x:c>
      <x:c r="F86" s="601" t="str">
        <x:v>HRS/MKI</x:v>
      </x:c>
      <x:c r="G86" s="601" t="str">
        <x:v>3rd • 09:40 AM–10:30 AM • Room 501</x:v>
      </x:c>
      <x:c r="H86" s="601" t="str">
        <x:v>WED P3</x:v>
      </x:c>
      <x:c r="I86" s="601" t="str">
        <x:f>IF(E86="Extra",IF(AND(A86&lt;&gt;"",D86&lt;&gt;""),"Yes",""),IF(COUNTIF('Routine &amp; Holidays'!$M$8:$M$35,A86)&gt;0,"No",IF(D86="BECM 3204",IF(H86=Dashboard!$C$5,"Yes","No"),IF(D86="BECM 3208",IF(H86=Dashboard!$C$6,"Yes","No"),IF(D86="CE 3224",IF(H86=Dashboard!$C$7,"Yes","No"),IF(D86="BECM 3200",IF(Dashboard!$C$8="Every Week","Yes",IF(Dashboard!$C$8="Odd Weeks",IF(MOD(C86,2)=1,"Yes","No"),IF(MOD(C86,2)=0,"Yes","No"))),"Yes"))))))</x:f>
        <x:v>Yes</x:v>
      </x:c>
      <x:c r="J86" s="601"/>
      <x:c r="K86" s="601" t="str">
        <x:v>None</x:v>
      </x:c>
      <x:c r="L86" s="601"/>
      <x:c r="M86" s="601"/>
      <x:c r="N86" s="601"/>
      <x:c r="O86" s="602"/>
    </x:row>
    <x:row r="87">
      <x:c r="A87" s="580" t="n">
        <x:v>46295</x:v>
      </x:c>
      <x:c r="B87" s="581" t="str">
        <x:v>Wed</x:v>
      </x:c>
      <x:c r="C87" s="581" t="n">
        <x:v>4</x:v>
      </x:c>
      <x:c r="D87" s="581" t="str">
        <x:v>CE 3211</x:v>
      </x:c>
      <x:c r="E87" s="581" t="str">
        <x:v>Regular</x:v>
      </x:c>
      <x:c r="F87" s="601" t="str">
        <x:v>ATB</x:v>
      </x:c>
      <x:c r="G87" s="601" t="str">
        <x:v>4th • 10:40 AM–11:30 AM • Room 501</x:v>
      </x:c>
      <x:c r="H87" s="601" t="str">
        <x:v>WED P4</x:v>
      </x:c>
      <x:c r="I87" s="601" t="str">
        <x:f>IF(E87="Extra",IF(AND(A87&lt;&gt;"",D87&lt;&gt;""),"Yes",""),IF(COUNTIF('Routine &amp; Holidays'!$M$8:$M$35,A87)&gt;0,"No",IF(D87="BECM 3204",IF(H87=Dashboard!$C$5,"Yes","No"),IF(D87="BECM 3208",IF(H87=Dashboard!$C$6,"Yes","No"),IF(D87="CE 3224",IF(H87=Dashboard!$C$7,"Yes","No"),IF(D87="BECM 3200",IF(Dashboard!$C$8="Every Week","Yes",IF(Dashboard!$C$8="Odd Weeks",IF(MOD(C87,2)=1,"Yes","No"),IF(MOD(C87,2)=0,"Yes","No"))),"Yes"))))))</x:f>
        <x:v>Yes</x:v>
      </x:c>
      <x:c r="J87" s="601"/>
      <x:c r="K87" s="601" t="str">
        <x:v>None</x:v>
      </x:c>
      <x:c r="L87" s="601"/>
      <x:c r="M87" s="601"/>
      <x:c r="N87" s="601"/>
      <x:c r="O87" s="602"/>
    </x:row>
    <x:row r="88">
      <x:c r="A88" s="580" t="n">
        <x:v>46295</x:v>
      </x:c>
      <x:c r="B88" s="581" t="str">
        <x:v>Wed</x:v>
      </x:c>
      <x:c r="C88" s="581" t="n">
        <x:v>4</x:v>
      </x:c>
      <x:c r="D88" s="581" t="str">
        <x:v>CE 3223</x:v>
      </x:c>
      <x:c r="E88" s="581" t="str">
        <x:v>Regular</x:v>
      </x:c>
      <x:c r="F88" s="601" t="str">
        <x:v>MHI</x:v>
      </x:c>
      <x:c r="G88" s="601" t="str">
        <x:v>5th • 11:30 AM–12:20 PM • Room 501</x:v>
      </x:c>
      <x:c r="H88" s="601" t="str">
        <x:v>WED P5</x:v>
      </x:c>
      <x:c r="I88" s="601" t="str">
        <x:f>IF(E88="Extra",IF(AND(A88&lt;&gt;"",D88&lt;&gt;""),"Yes",""),IF(COUNTIF('Routine &amp; Holidays'!$M$8:$M$35,A88)&gt;0,"No",IF(D88="BECM 3204",IF(H88=Dashboard!$C$5,"Yes","No"),IF(D88="BECM 3208",IF(H88=Dashboard!$C$6,"Yes","No"),IF(D88="CE 3224",IF(H88=Dashboard!$C$7,"Yes","No"),IF(D88="BECM 3200",IF(Dashboard!$C$8="Every Week","Yes",IF(Dashboard!$C$8="Odd Weeks",IF(MOD(C88,2)=1,"Yes","No"),IF(MOD(C88,2)=0,"Yes","No"))),"Yes"))))))</x:f>
        <x:v>Yes</x:v>
      </x:c>
      <x:c r="J88" s="601"/>
      <x:c r="K88" s="601" t="str">
        <x:v>None</x:v>
      </x:c>
      <x:c r="L88" s="601"/>
      <x:c r="M88" s="601"/>
      <x:c r="N88" s="601"/>
      <x:c r="O88" s="602"/>
    </x:row>
    <x:row r="89">
      <x:c r="A89" s="580" t="n">
        <x:v>46295</x:v>
      </x:c>
      <x:c r="B89" s="581" t="str">
        <x:v>Wed</x:v>
      </x:c>
      <x:c r="C89" s="581" t="n">
        <x:v>4</x:v>
      </x:c>
      <x:c r="D89" s="581" t="str">
        <x:v>BECM 3205</x:v>
      </x:c>
      <x:c r="E89" s="581" t="str">
        <x:v>Regular</x:v>
      </x:c>
      <x:c r="F89" s="601" t="str">
        <x:v>MSH/AAM</x:v>
      </x:c>
      <x:c r="G89" s="601" t="str">
        <x:v>6th • 12:20 PM–01:10 PM • Room 501</x:v>
      </x:c>
      <x:c r="H89" s="601" t="str">
        <x:v>WED P6</x:v>
      </x:c>
      <x:c r="I89" s="601" t="str">
        <x:f>IF(E89="Extra",IF(AND(A89&lt;&gt;"",D89&lt;&gt;""),"Yes",""),IF(COUNTIF('Routine &amp; Holidays'!$M$8:$M$35,A89)&gt;0,"No",IF(D89="BECM 3204",IF(H89=Dashboard!$C$5,"Yes","No"),IF(D89="BECM 3208",IF(H89=Dashboard!$C$6,"Yes","No"),IF(D89="CE 3224",IF(H89=Dashboard!$C$7,"Yes","No"),IF(D89="BECM 3200",IF(Dashboard!$C$8="Every Week","Yes",IF(Dashboard!$C$8="Odd Weeks",IF(MOD(C89,2)=1,"Yes","No"),IF(MOD(C89,2)=0,"Yes","No"))),"Yes"))))))</x:f>
        <x:v>Yes</x:v>
      </x:c>
      <x:c r="J89" s="601"/>
      <x:c r="K89" s="601" t="str">
        <x:v>None</x:v>
      </x:c>
      <x:c r="L89" s="601"/>
      <x:c r="M89" s="601"/>
      <x:c r="N89" s="601"/>
      <x:c r="O89" s="602"/>
    </x:row>
    <x:row r="90">
      <x:c r="A90" s="580" t="n">
        <x:v>46296</x:v>
      </x:c>
      <x:c r="B90" s="581" t="str">
        <x:v>Thurs</x:v>
      </x:c>
      <x:c r="C90" s="581" t="n">
        <x:v>4</x:v>
      </x:c>
      <x:c r="D90" s="581" t="str">
        <x:v>CE 3224</x:v>
      </x:c>
      <x:c r="E90" s="581" t="str">
        <x:v>Regular</x:v>
      </x:c>
      <x:c r="F90" s="601" t="str">
        <x:v>MHI/MRA</x:v>
      </x:c>
      <x:c r="G90" s="601" t="str">
        <x:v>7-9 • 02:30 PM–05:00 PM • Room 405</x:v>
      </x:c>
      <x:c r="H90" s="601" t="str">
        <x:v>Thu PM</x:v>
      </x:c>
      <x:c r="I90" s="601" t="str">
        <x:f>IF(E90="Extra",IF(AND(A90&lt;&gt;"",D90&lt;&gt;""),"Yes",""),IF(COUNTIF('Routine &amp; Holidays'!$M$8:$M$35,A90)&gt;0,"No",IF(D90="BECM 3204",IF(H90=Dashboard!$C$5,"Yes","No"),IF(D90="BECM 3208",IF(H90=Dashboard!$C$6,"Yes","No"),IF(D90="CE 3224",IF(H90=Dashboard!$C$7,"Yes","No"),IF(D90="BECM 3200",IF(Dashboard!$C$8="Every Week","Yes",IF(Dashboard!$C$8="Odd Weeks",IF(MOD(C90,2)=1,"Yes","No"),IF(MOD(C90,2)=0,"Yes","No"))),"Yes"))))))</x:f>
        <x:v>No</x:v>
      </x:c>
      <x:c r="J90" s="601"/>
      <x:c r="K90" s="601" t="str">
        <x:v>None</x:v>
      </x:c>
      <x:c r="L90" s="601"/>
      <x:c r="M90" s="601"/>
      <x:c r="N90" s="601"/>
      <x:c r="O90" s="602"/>
    </x:row>
    <x:row r="91">
      <x:c r="A91" s="580" t="n">
        <x:v>46296</x:v>
      </x:c>
      <x:c r="B91" s="581" t="str">
        <x:v>Thurs</x:v>
      </x:c>
      <x:c r="C91" s="581" t="n">
        <x:v>4</x:v>
      </x:c>
      <x:c r="D91" s="581" t="str">
        <x:v>BECM 3204</x:v>
      </x:c>
      <x:c r="E91" s="581" t="str">
        <x:v>Regular</x:v>
      </x:c>
      <x:c r="F91" s="601" t="str">
        <x:v>HRS/MR</x:v>
      </x:c>
      <x:c r="G91" s="601" t="str">
        <x:v>1-3 • 08:00 AM–10:30 AM</x:v>
      </x:c>
      <x:c r="H91" s="601" t="str">
        <x:v>Thu AM</x:v>
      </x:c>
      <x:c r="I91" s="601" t="str">
        <x:f>IF(E91="Extra",IF(AND(A91&lt;&gt;"",D91&lt;&gt;""),"Yes",""),IF(COUNTIF('Routine &amp; Holidays'!$M$8:$M$35,A91)&gt;0,"No",IF(D91="BECM 3204",IF(H91=Dashboard!$C$5,"Yes","No"),IF(D91="BECM 3208",IF(H91=Dashboard!$C$6,"Yes","No"),IF(D91="CE 3224",IF(H91=Dashboard!$C$7,"Yes","No"),IF(D91="BECM 3200",IF(Dashboard!$C$8="Every Week","Yes",IF(Dashboard!$C$8="Odd Weeks",IF(MOD(C91,2)=1,"Yes","No"),IF(MOD(C91,2)=0,"Yes","No"))),"Yes"))))))</x:f>
        <x:v>No</x:v>
      </x:c>
      <x:c r="J91" s="601"/>
      <x:c r="K91" s="601" t="str">
        <x:v>None</x:v>
      </x:c>
      <x:c r="L91" s="601"/>
      <x:c r="M91" s="601"/>
      <x:c r="N91" s="601"/>
      <x:c r="O91" s="602"/>
    </x:row>
    <x:row r="92">
      <x:c r="A92" s="580" t="n">
        <x:v>46296</x:v>
      </x:c>
      <x:c r="B92" s="581" t="str">
        <x:v>Thurs</x:v>
      </x:c>
      <x:c r="C92" s="581" t="n">
        <x:v>4</x:v>
      </x:c>
      <x:c r="D92" s="581" t="str">
        <x:v>BECM 3205</x:v>
      </x:c>
      <x:c r="E92" s="581" t="str">
        <x:v>Regular</x:v>
      </x:c>
      <x:c r="F92" s="601" t="str">
        <x:v>MSH</x:v>
      </x:c>
      <x:c r="G92" s="601" t="str">
        <x:v>4th • 10:40 AM–11:30 AM • Room 406</x:v>
      </x:c>
      <x:c r="H92" s="601" t="str">
        <x:v>THURS P4</x:v>
      </x:c>
      <x:c r="I92" s="601" t="str">
        <x:f>IF(E92="Extra",IF(AND(A92&lt;&gt;"",D92&lt;&gt;""),"Yes",""),IF(COUNTIF('Routine &amp; Holidays'!$M$8:$M$35,A92)&gt;0,"No",IF(D92="BECM 3204",IF(H92=Dashboard!$C$5,"Yes","No"),IF(D92="BECM 3208",IF(H92=Dashboard!$C$6,"Yes","No"),IF(D92="CE 3224",IF(H92=Dashboard!$C$7,"Yes","No"),IF(D92="BECM 3200",IF(Dashboard!$C$8="Every Week","Yes",IF(Dashboard!$C$8="Odd Weeks",IF(MOD(C92,2)=1,"Yes","No"),IF(MOD(C92,2)=0,"Yes","No"))),"Yes"))))))</x:f>
        <x:v>Yes</x:v>
      </x:c>
      <x:c r="J92" s="601"/>
      <x:c r="K92" s="601" t="str">
        <x:v>None</x:v>
      </x:c>
      <x:c r="L92" s="601"/>
      <x:c r="M92" s="601"/>
      <x:c r="N92" s="601"/>
      <x:c r="O92" s="602"/>
    </x:row>
    <x:row r="93">
      <x:c r="A93" s="580" t="n">
        <x:v>46296</x:v>
      </x:c>
      <x:c r="B93" s="581" t="str">
        <x:v>Thurs</x:v>
      </x:c>
      <x:c r="C93" s="581" t="n">
        <x:v>4</x:v>
      </x:c>
      <x:c r="D93" s="581" t="str">
        <x:v>CE 3211</x:v>
      </x:c>
      <x:c r="E93" s="581" t="str">
        <x:v>Regular</x:v>
      </x:c>
      <x:c r="F93" s="601" t="str">
        <x:v>MKI/ATB</x:v>
      </x:c>
      <x:c r="G93" s="601" t="str">
        <x:v>5th • 11:30 AM–12:20 PM • Room 406</x:v>
      </x:c>
      <x:c r="H93" s="601" t="str">
        <x:v>THURS P5</x:v>
      </x:c>
      <x:c r="I93" s="601" t="str">
        <x:f>IF(E93="Extra",IF(AND(A93&lt;&gt;"",D93&lt;&gt;""),"Yes",""),IF(COUNTIF('Routine &amp; Holidays'!$M$8:$M$35,A93)&gt;0,"No",IF(D93="BECM 3204",IF(H93=Dashboard!$C$5,"Yes","No"),IF(D93="BECM 3208",IF(H93=Dashboard!$C$6,"Yes","No"),IF(D93="CE 3224",IF(H93=Dashboard!$C$7,"Yes","No"),IF(D93="BECM 3200",IF(Dashboard!$C$8="Every Week","Yes",IF(Dashboard!$C$8="Odd Weeks",IF(MOD(C93,2)=1,"Yes","No"),IF(MOD(C93,2)=0,"Yes","No"))),"Yes"))))))</x:f>
        <x:v>Yes</x:v>
      </x:c>
      <x:c r="J93" s="601"/>
      <x:c r="K93" s="601" t="str">
        <x:v>None</x:v>
      </x:c>
      <x:c r="L93" s="601"/>
      <x:c r="M93" s="601"/>
      <x:c r="N93" s="601"/>
      <x:c r="O93" s="602"/>
    </x:row>
    <x:row r="94">
      <x:c r="A94" s="580" t="n">
        <x:v>46296</x:v>
      </x:c>
      <x:c r="B94" s="581" t="str">
        <x:v>Thurs</x:v>
      </x:c>
      <x:c r="C94" s="581" t="n">
        <x:v>4</x:v>
      </x:c>
      <x:c r="D94" s="581" t="str">
        <x:v>BECM 3201</x:v>
      </x:c>
      <x:c r="E94" s="581" t="str">
        <x:v>Regular</x:v>
      </x:c>
      <x:c r="F94" s="601" t="str">
        <x:v>MR/MRA</x:v>
      </x:c>
      <x:c r="G94" s="601" t="str">
        <x:v>6th • 12:20 PM–01:10 PM • Room 406</x:v>
      </x:c>
      <x:c r="H94" s="601" t="str">
        <x:v>THURS P6</x:v>
      </x:c>
      <x:c r="I94" s="601" t="str">
        <x:f>IF(E94="Extra",IF(AND(A94&lt;&gt;"",D94&lt;&gt;""),"Yes",""),IF(COUNTIF('Routine &amp; Holidays'!$M$8:$M$35,A94)&gt;0,"No",IF(D94="BECM 3204",IF(H94=Dashboard!$C$5,"Yes","No"),IF(D94="BECM 3208",IF(H94=Dashboard!$C$6,"Yes","No"),IF(D94="CE 3224",IF(H94=Dashboard!$C$7,"Yes","No"),IF(D94="BECM 3200",IF(Dashboard!$C$8="Every Week","Yes",IF(Dashboard!$C$8="Odd Weeks",IF(MOD(C94,2)=1,"Yes","No"),IF(MOD(C94,2)=0,"Yes","No"))),"Yes"))))))</x:f>
        <x:v>Yes</x:v>
      </x:c>
      <x:c r="J94" s="601"/>
      <x:c r="K94" s="601" t="str">
        <x:v>None</x:v>
      </x:c>
      <x:c r="L94" s="601"/>
      <x:c r="M94" s="601"/>
      <x:c r="N94" s="601"/>
      <x:c r="O94" s="602"/>
    </x:row>
    <x:row r="95">
      <x:c r="A95" s="580" t="n">
        <x:v>46299</x:v>
      </x:c>
      <x:c r="B95" s="581" t="str">
        <x:v>Sun</x:v>
      </x:c>
      <x:c r="C95" s="581" t="n">
        <x:v>5</x:v>
      </x:c>
      <x:c r="D95" s="581" t="str">
        <x:v>BECM 3204</x:v>
      </x:c>
      <x:c r="E95" s="581" t="str">
        <x:v>Regular</x:v>
      </x:c>
      <x:c r="F95" s="601" t="str">
        <x:v>HRS/MR</x:v>
      </x:c>
      <x:c r="G95" s="601" t="str">
        <x:v>7-9 • 02:30 PM–05:00 PM • Room 404</x:v>
      </x:c>
      <x:c r="H95" s="601" t="str">
        <x:v>Sun PM</x:v>
      </x:c>
      <x:c r="I95" s="601" t="str">
        <x:f>IF(E95="Extra",IF(AND(A95&lt;&gt;"",D95&lt;&gt;""),"Yes",""),IF(COUNTIF('Routine &amp; Holidays'!$M$8:$M$35,A95)&gt;0,"No",IF(D95="BECM 3204",IF(H95=Dashboard!$C$5,"Yes","No"),IF(D95="BECM 3208",IF(H95=Dashboard!$C$6,"Yes","No"),IF(D95="CE 3224",IF(H95=Dashboard!$C$7,"Yes","No"),IF(D95="BECM 3200",IF(Dashboard!$C$8="Every Week","Yes",IF(Dashboard!$C$8="Odd Weeks",IF(MOD(C95,2)=1,"Yes","No"),IF(MOD(C95,2)=0,"Yes","No"))),"Yes"))))))</x:f>
        <x:v>Yes</x:v>
      </x:c>
      <x:c r="J95" s="601"/>
      <x:c r="K95" s="601" t="str">
        <x:v>None</x:v>
      </x:c>
      <x:c r="L95" s="601"/>
      <x:c r="M95" s="601"/>
      <x:c r="N95" s="601"/>
      <x:c r="O95" s="602"/>
    </x:row>
    <x:row r="96">
      <x:c r="A96" s="580" t="n">
        <x:v>46299</x:v>
      </x:c>
      <x:c r="B96" s="581" t="str">
        <x:v>Sun</x:v>
      </x:c>
      <x:c r="C96" s="581" t="n">
        <x:v>5</x:v>
      </x:c>
      <x:c r="D96" s="581" t="str">
        <x:v>CE 3213</x:v>
      </x:c>
      <x:c r="E96" s="581" t="str">
        <x:v>Regular</x:v>
      </x:c>
      <x:c r="F96" s="601" t="str">
        <x:v>HRS</x:v>
      </x:c>
      <x:c r="G96" s="601" t="str">
        <x:v>4th • 10:40 AM–11:30 AM • Room 501</x:v>
      </x:c>
      <x:c r="H96" s="601" t="str">
        <x:v>SUN P4</x:v>
      </x:c>
      <x:c r="I96" s="601" t="str">
        <x:f>IF(E96="Extra",IF(AND(A96&lt;&gt;"",D96&lt;&gt;""),"Yes",""),IF(COUNTIF('Routine &amp; Holidays'!$M$8:$M$35,A96)&gt;0,"No",IF(D96="BECM 3204",IF(H96=Dashboard!$C$5,"Yes","No"),IF(D96="BECM 3208",IF(H96=Dashboard!$C$6,"Yes","No"),IF(D96="CE 3224",IF(H96=Dashboard!$C$7,"Yes","No"),IF(D96="BECM 3200",IF(Dashboard!$C$8="Every Week","Yes",IF(Dashboard!$C$8="Odd Weeks",IF(MOD(C96,2)=1,"Yes","No"),IF(MOD(C96,2)=0,"Yes","No"))),"Yes"))))))</x:f>
        <x:v>Yes</x:v>
      </x:c>
      <x:c r="J96" s="601"/>
      <x:c r="K96" s="601" t="str">
        <x:v>None</x:v>
      </x:c>
      <x:c r="L96" s="601"/>
      <x:c r="M96" s="601"/>
      <x:c r="N96" s="601"/>
      <x:c r="O96" s="602"/>
    </x:row>
    <x:row r="97">
      <x:c r="A97" s="580" t="n">
        <x:v>46299</x:v>
      </x:c>
      <x:c r="B97" s="581" t="str">
        <x:v>Sun</x:v>
      </x:c>
      <x:c r="C97" s="581" t="n">
        <x:v>5</x:v>
      </x:c>
      <x:c r="D97" s="581" t="str">
        <x:v>CE 3223</x:v>
      </x:c>
      <x:c r="E97" s="581" t="str">
        <x:v>Regular</x:v>
      </x:c>
      <x:c r="F97" s="601" t="str">
        <x:v>MSA</x:v>
      </x:c>
      <x:c r="G97" s="601" t="str">
        <x:v>5th • 11:30 AM–12:20 PM • Room 501</x:v>
      </x:c>
      <x:c r="H97" s="601" t="str">
        <x:v>SUN P5</x:v>
      </x:c>
      <x:c r="I97" s="601" t="str">
        <x:f>IF(E97="Extra",IF(AND(A97&lt;&gt;"",D97&lt;&gt;""),"Yes",""),IF(COUNTIF('Routine &amp; Holidays'!$M$8:$M$35,A97)&gt;0,"No",IF(D97="BECM 3204",IF(H97=Dashboard!$C$5,"Yes","No"),IF(D97="BECM 3208",IF(H97=Dashboard!$C$6,"Yes","No"),IF(D97="CE 3224",IF(H97=Dashboard!$C$7,"Yes","No"),IF(D97="BECM 3200",IF(Dashboard!$C$8="Every Week","Yes",IF(Dashboard!$C$8="Odd Weeks",IF(MOD(C97,2)=1,"Yes","No"),IF(MOD(C97,2)=0,"Yes","No"))),"Yes"))))))</x:f>
        <x:v>Yes</x:v>
      </x:c>
      <x:c r="J97" s="601"/>
      <x:c r="K97" s="601" t="str">
        <x:v>None</x:v>
      </x:c>
      <x:c r="L97" s="601"/>
      <x:c r="M97" s="601"/>
      <x:c r="N97" s="601"/>
      <x:c r="O97" s="602"/>
    </x:row>
    <x:row r="98">
      <x:c r="A98" s="580" t="n">
        <x:v>46299</x:v>
      </x:c>
      <x:c r="B98" s="581" t="str">
        <x:v>Sun</x:v>
      </x:c>
      <x:c r="C98" s="581" t="n">
        <x:v>5</x:v>
      </x:c>
      <x:c r="D98" s="581" t="str">
        <x:v>CE 3211</x:v>
      </x:c>
      <x:c r="E98" s="581" t="str">
        <x:v>Regular</x:v>
      </x:c>
      <x:c r="F98" s="601" t="str">
        <x:v>MKI</x:v>
      </x:c>
      <x:c r="G98" s="601" t="str">
        <x:v>6th • 12:20 PM–01:10 PM • Room 501</x:v>
      </x:c>
      <x:c r="H98" s="601" t="str">
        <x:v>SUN P6</x:v>
      </x:c>
      <x:c r="I98" s="601" t="str">
        <x:f>IF(E98="Extra",IF(AND(A98&lt;&gt;"",D98&lt;&gt;""),"Yes",""),IF(COUNTIF('Routine &amp; Holidays'!$M$8:$M$35,A98)&gt;0,"No",IF(D98="BECM 3204",IF(H98=Dashboard!$C$5,"Yes","No"),IF(D98="BECM 3208",IF(H98=Dashboard!$C$6,"Yes","No"),IF(D98="CE 3224",IF(H98=Dashboard!$C$7,"Yes","No"),IF(D98="BECM 3200",IF(Dashboard!$C$8="Every Week","Yes",IF(Dashboard!$C$8="Odd Weeks",IF(MOD(C98,2)=1,"Yes","No"),IF(MOD(C98,2)=0,"Yes","No"))),"Yes"))))))</x:f>
        <x:v>Yes</x:v>
      </x:c>
      <x:c r="J98" s="601"/>
      <x:c r="K98" s="601" t="str">
        <x:v>None</x:v>
      </x:c>
      <x:c r="L98" s="601"/>
      <x:c r="M98" s="601"/>
      <x:c r="N98" s="601"/>
      <x:c r="O98" s="602"/>
    </x:row>
    <x:row r="99">
      <x:c r="A99" s="580" t="n">
        <x:v>46300</x:v>
      </x:c>
      <x:c r="B99" s="581" t="str">
        <x:v>Mon</x:v>
      </x:c>
      <x:c r="C99" s="581" t="n">
        <x:v>5</x:v>
      </x:c>
      <x:c r="D99" s="581" t="str">
        <x:v>BECM 3200</x:v>
      </x:c>
      <x:c r="E99" s="581" t="str">
        <x:v>Regular</x:v>
      </x:c>
      <x:c r="F99" s="601" t="str">
        <x:v>ALL</x:v>
      </x:c>
      <x:c r="G99" s="601" t="str">
        <x:v>7-9 • 02:30 PM–05:00 PM</x:v>
      </x:c>
      <x:c r="H99" s="601" t="str">
        <x:v>Mon PM</x:v>
      </x:c>
      <x:c r="I99" s="601" t="str">
        <x:f>IF(E99="Extra",IF(AND(A99&lt;&gt;"",D99&lt;&gt;""),"Yes",""),IF(COUNTIF('Routine &amp; Holidays'!$M$8:$M$35,A99)&gt;0,"No",IF(D99="BECM 3204",IF(H99=Dashboard!$C$5,"Yes","No"),IF(D99="BECM 3208",IF(H99=Dashboard!$C$6,"Yes","No"),IF(D99="CE 3224",IF(H99=Dashboard!$C$7,"Yes","No"),IF(D99="BECM 3200",IF(Dashboard!$C$8="Every Week","Yes",IF(Dashboard!$C$8="Odd Weeks",IF(MOD(C99,2)=1,"Yes","No"),IF(MOD(C99,2)=0,"Yes","No"))),"Yes"))))))</x:f>
        <x:v>Yes</x:v>
      </x:c>
      <x:c r="J99" s="601"/>
      <x:c r="K99" s="601" t="str">
        <x:v>None</x:v>
      </x:c>
      <x:c r="L99" s="601"/>
      <x:c r="M99" s="601"/>
      <x:c r="N99" s="601"/>
      <x:c r="O99" s="602"/>
    </x:row>
    <x:row r="100">
      <x:c r="A100" s="580" t="n">
        <x:v>46300</x:v>
      </x:c>
      <x:c r="B100" s="581" t="str">
        <x:v>Mon</x:v>
      </x:c>
      <x:c r="C100" s="581" t="n">
        <x:v>5</x:v>
      </x:c>
      <x:c r="D100" s="581" t="str">
        <x:v>CE 3223</x:v>
      </x:c>
      <x:c r="E100" s="581" t="str">
        <x:v>Regular</x:v>
      </x:c>
      <x:c r="F100" s="601" t="str">
        <x:v>MHI/MSA</x:v>
      </x:c>
      <x:c r="G100" s="601" t="str">
        <x:v>3rd • 09:40 AM–10:30 AM • Room 404</x:v>
      </x:c>
      <x:c r="H100" s="601" t="str">
        <x:v>MON P3</x:v>
      </x:c>
      <x:c r="I100" s="601" t="str">
        <x:f>IF(E100="Extra",IF(AND(A100&lt;&gt;"",D100&lt;&gt;""),"Yes",""),IF(COUNTIF('Routine &amp; Holidays'!$M$8:$M$35,A100)&gt;0,"No",IF(D100="BECM 3204",IF(H100=Dashboard!$C$5,"Yes","No"),IF(D100="BECM 3208",IF(H100=Dashboard!$C$6,"Yes","No"),IF(D100="CE 3224",IF(H100=Dashboard!$C$7,"Yes","No"),IF(D100="BECM 3200",IF(Dashboard!$C$8="Every Week","Yes",IF(Dashboard!$C$8="Odd Weeks",IF(MOD(C100,2)=1,"Yes","No"),IF(MOD(C100,2)=0,"Yes","No"))),"Yes"))))))</x:f>
        <x:v>Yes</x:v>
      </x:c>
      <x:c r="J100" s="601"/>
      <x:c r="K100" s="601" t="str">
        <x:v>None</x:v>
      </x:c>
      <x:c r="L100" s="601"/>
      <x:c r="M100" s="601"/>
      <x:c r="N100" s="601"/>
      <x:c r="O100" s="602"/>
    </x:row>
    <x:row r="101">
      <x:c r="A101" s="580" t="n">
        <x:v>46300</x:v>
      </x:c>
      <x:c r="B101" s="581" t="str">
        <x:v>Mon</x:v>
      </x:c>
      <x:c r="C101" s="581" t="n">
        <x:v>5</x:v>
      </x:c>
      <x:c r="D101" s="581" t="str">
        <x:v>BECM 3201</x:v>
      </x:c>
      <x:c r="E101" s="581" t="str">
        <x:v>Regular</x:v>
      </x:c>
      <x:c r="F101" s="601" t="str">
        <x:v>MR</x:v>
      </x:c>
      <x:c r="G101" s="601" t="str">
        <x:v>5th • 11:30 AM–12:20 PM • Room 405</x:v>
      </x:c>
      <x:c r="H101" s="601" t="str">
        <x:v>MON P5</x:v>
      </x:c>
      <x:c r="I101" s="601" t="str">
        <x:f>IF(E101="Extra",IF(AND(A101&lt;&gt;"",D101&lt;&gt;""),"Yes",""),IF(COUNTIF('Routine &amp; Holidays'!$M$8:$M$35,A101)&gt;0,"No",IF(D101="BECM 3204",IF(H101=Dashboard!$C$5,"Yes","No"),IF(D101="BECM 3208",IF(H101=Dashboard!$C$6,"Yes","No"),IF(D101="CE 3224",IF(H101=Dashboard!$C$7,"Yes","No"),IF(D101="BECM 3200",IF(Dashboard!$C$8="Every Week","Yes",IF(Dashboard!$C$8="Odd Weeks",IF(MOD(C101,2)=1,"Yes","No"),IF(MOD(C101,2)=0,"Yes","No"))),"Yes"))))))</x:f>
        <x:v>Yes</x:v>
      </x:c>
      <x:c r="J101" s="601"/>
      <x:c r="K101" s="601" t="str">
        <x:v>None</x:v>
      </x:c>
      <x:c r="L101" s="601"/>
      <x:c r="M101" s="601"/>
      <x:c r="N101" s="601"/>
      <x:c r="O101" s="602"/>
    </x:row>
    <x:row r="102">
      <x:c r="A102" s="580" t="n">
        <x:v>46300</x:v>
      </x:c>
      <x:c r="B102" s="581" t="str">
        <x:v>Mon</x:v>
      </x:c>
      <x:c r="C102" s="581" t="n">
        <x:v>5</x:v>
      </x:c>
      <x:c r="D102" s="581" t="str">
        <x:v>BECM 3205</x:v>
      </x:c>
      <x:c r="E102" s="581" t="str">
        <x:v>Regular</x:v>
      </x:c>
      <x:c r="F102" s="601" t="str">
        <x:v>AAM</x:v>
      </x:c>
      <x:c r="G102" s="601" t="str">
        <x:v>6th • 12:20 PM–01:10 PM • Room 405</x:v>
      </x:c>
      <x:c r="H102" s="601" t="str">
        <x:v>MON P6</x:v>
      </x:c>
      <x:c r="I102" s="601" t="str">
        <x:f>IF(E102="Extra",IF(AND(A102&lt;&gt;"",D102&lt;&gt;""),"Yes",""),IF(COUNTIF('Routine &amp; Holidays'!$M$8:$M$35,A102)&gt;0,"No",IF(D102="BECM 3204",IF(H102=Dashboard!$C$5,"Yes","No"),IF(D102="BECM 3208",IF(H102=Dashboard!$C$6,"Yes","No"),IF(D102="CE 3224",IF(H102=Dashboard!$C$7,"Yes","No"),IF(D102="BECM 3200",IF(Dashboard!$C$8="Every Week","Yes",IF(Dashboard!$C$8="Odd Weeks",IF(MOD(C102,2)=1,"Yes","No"),IF(MOD(C102,2)=0,"Yes","No"))),"Yes"))))))</x:f>
        <x:v>Yes</x:v>
      </x:c>
      <x:c r="J102" s="601"/>
      <x:c r="K102" s="601" t="str">
        <x:v>None</x:v>
      </x:c>
      <x:c r="L102" s="601"/>
      <x:c r="M102" s="601"/>
      <x:c r="N102" s="601"/>
      <x:c r="O102" s="602"/>
    </x:row>
    <x:row r="103">
      <x:c r="A103" s="580" t="n">
        <x:v>46301</x:v>
      </x:c>
      <x:c r="B103" s="581" t="str">
        <x:v>Tues</x:v>
      </x:c>
      <x:c r="C103" s="581" t="n">
        <x:v>5</x:v>
      </x:c>
      <x:c r="D103" s="581" t="str">
        <x:v>BECM 3208</x:v>
      </x:c>
      <x:c r="E103" s="581" t="str">
        <x:v>Regular</x:v>
      </x:c>
      <x:c r="F103" s="601" t="str">
        <x:v>MSH/MSA</x:v>
      </x:c>
      <x:c r="G103" s="601" t="str">
        <x:v>7-9 • 02:30 PM–05:00 PM</x:v>
      </x:c>
      <x:c r="H103" s="601" t="str">
        <x:v>Tue PM</x:v>
      </x:c>
      <x:c r="I103" s="601" t="str">
        <x:f>IF(E103="Extra",IF(AND(A103&lt;&gt;"",D103&lt;&gt;""),"Yes",""),IF(COUNTIF('Routine &amp; Holidays'!$M$8:$M$35,A103)&gt;0,"No",IF(D103="BECM 3204",IF(H103=Dashboard!$C$5,"Yes","No"),IF(D103="BECM 3208",IF(H103=Dashboard!$C$6,"Yes","No"),IF(D103="CE 3224",IF(H103=Dashboard!$C$7,"Yes","No"),IF(D103="BECM 3200",IF(Dashboard!$C$8="Every Week","Yes",IF(Dashboard!$C$8="Odd Weeks",IF(MOD(C103,2)=1,"Yes","No"),IF(MOD(C103,2)=0,"Yes","No"))),"Yes"))))))</x:f>
        <x:v>Yes</x:v>
      </x:c>
      <x:c r="J103" s="601"/>
      <x:c r="K103" s="601" t="str">
        <x:v>None</x:v>
      </x:c>
      <x:c r="L103" s="601"/>
      <x:c r="M103" s="601"/>
      <x:c r="N103" s="601"/>
      <x:c r="O103" s="602"/>
    </x:row>
    <x:row r="104">
      <x:c r="A104" s="580" t="n">
        <x:v>46301</x:v>
      </x:c>
      <x:c r="B104" s="581" t="str">
        <x:v>Tues</x:v>
      </x:c>
      <x:c r="C104" s="581" t="n">
        <x:v>5</x:v>
      </x:c>
      <x:c r="D104" s="581" t="str">
        <x:v>CE 3224</x:v>
      </x:c>
      <x:c r="E104" s="581" t="str">
        <x:v>Regular</x:v>
      </x:c>
      <x:c r="F104" s="601" t="str">
        <x:v>MHI/MRA</x:v>
      </x:c>
      <x:c r="G104" s="601" t="str">
        <x:v>1-3 • 08:00 AM–10:30 AM</x:v>
      </x:c>
      <x:c r="H104" s="601" t="str">
        <x:v>Tue AM</x:v>
      </x:c>
      <x:c r="I104" s="601" t="str">
        <x:f>IF(E104="Extra",IF(AND(A104&lt;&gt;"",D104&lt;&gt;""),"Yes",""),IF(COUNTIF('Routine &amp; Holidays'!$M$8:$M$35,A104)&gt;0,"No",IF(D104="BECM 3204",IF(H104=Dashboard!$C$5,"Yes","No"),IF(D104="BECM 3208",IF(H104=Dashboard!$C$6,"Yes","No"),IF(D104="CE 3224",IF(H104=Dashboard!$C$7,"Yes","No"),IF(D104="BECM 3200",IF(Dashboard!$C$8="Every Week","Yes",IF(Dashboard!$C$8="Odd Weeks",IF(MOD(C104,2)=1,"Yes","No"),IF(MOD(C104,2)=0,"Yes","No"))),"Yes"))))))</x:f>
        <x:v>Yes</x:v>
      </x:c>
      <x:c r="J104" s="601"/>
      <x:c r="K104" s="601" t="str">
        <x:v>None</x:v>
      </x:c>
      <x:c r="L104" s="601"/>
      <x:c r="M104" s="601"/>
      <x:c r="N104" s="601"/>
      <x:c r="O104" s="602"/>
    </x:row>
    <x:row r="105">
      <x:c r="A105" s="580" t="n">
        <x:v>46301</x:v>
      </x:c>
      <x:c r="B105" s="581" t="str">
        <x:v>Tues</x:v>
      </x:c>
      <x:c r="C105" s="581" t="n">
        <x:v>5</x:v>
      </x:c>
      <x:c r="D105" s="581" t="str">
        <x:v>CE 3213</x:v>
      </x:c>
      <x:c r="E105" s="581" t="str">
        <x:v>Regular</x:v>
      </x:c>
      <x:c r="F105" s="601" t="str">
        <x:v>MKI</x:v>
      </x:c>
      <x:c r="G105" s="601" t="str">
        <x:v>5th • 11:30 AM–12:20 PM • Room 405</x:v>
      </x:c>
      <x:c r="H105" s="601" t="str">
        <x:v>TUES P5</x:v>
      </x:c>
      <x:c r="I105" s="601" t="str">
        <x:f>IF(E105="Extra",IF(AND(A105&lt;&gt;"",D105&lt;&gt;""),"Yes",""),IF(COUNTIF('Routine &amp; Holidays'!$M$8:$M$35,A105)&gt;0,"No",IF(D105="BECM 3204",IF(H105=Dashboard!$C$5,"Yes","No"),IF(D105="BECM 3208",IF(H105=Dashboard!$C$6,"Yes","No"),IF(D105="CE 3224",IF(H105=Dashboard!$C$7,"Yes","No"),IF(D105="BECM 3200",IF(Dashboard!$C$8="Every Week","Yes",IF(Dashboard!$C$8="Odd Weeks",IF(MOD(C105,2)=1,"Yes","No"),IF(MOD(C105,2)=0,"Yes","No"))),"Yes"))))))</x:f>
        <x:v>Yes</x:v>
      </x:c>
      <x:c r="J105" s="601"/>
      <x:c r="K105" s="601" t="str">
        <x:v>None</x:v>
      </x:c>
      <x:c r="L105" s="601"/>
      <x:c r="M105" s="601"/>
      <x:c r="N105" s="601"/>
      <x:c r="O105" s="602"/>
    </x:row>
    <x:row r="106">
      <x:c r="A106" s="580" t="n">
        <x:v>46301</x:v>
      </x:c>
      <x:c r="B106" s="581" t="str">
        <x:v>Tues</x:v>
      </x:c>
      <x:c r="C106" s="581" t="n">
        <x:v>5</x:v>
      </x:c>
      <x:c r="D106" s="581" t="str">
        <x:v>BECM 3201</x:v>
      </x:c>
      <x:c r="E106" s="581" t="str">
        <x:v>Regular</x:v>
      </x:c>
      <x:c r="F106" s="601" t="str">
        <x:v>MRA</x:v>
      </x:c>
      <x:c r="G106" s="601" t="str">
        <x:v>6th • 12:20 PM–01:10 PM • Room 405</x:v>
      </x:c>
      <x:c r="H106" s="601" t="str">
        <x:v>TUES P6</x:v>
      </x:c>
      <x:c r="I106" s="601" t="str">
        <x:f>IF(E106="Extra",IF(AND(A106&lt;&gt;"",D106&lt;&gt;""),"Yes",""),IF(COUNTIF('Routine &amp; Holidays'!$M$8:$M$35,A106)&gt;0,"No",IF(D106="BECM 3204",IF(H106=Dashboard!$C$5,"Yes","No"),IF(D106="BECM 3208",IF(H106=Dashboard!$C$6,"Yes","No"),IF(D106="CE 3224",IF(H106=Dashboard!$C$7,"Yes","No"),IF(D106="BECM 3200",IF(Dashboard!$C$8="Every Week","Yes",IF(Dashboard!$C$8="Odd Weeks",IF(MOD(C106,2)=1,"Yes","No"),IF(MOD(C106,2)=0,"Yes","No"))),"Yes"))))))</x:f>
        <x:v>Yes</x:v>
      </x:c>
      <x:c r="J106" s="601"/>
      <x:c r="K106" s="601" t="str">
        <x:v>None</x:v>
      </x:c>
      <x:c r="L106" s="601"/>
      <x:c r="M106" s="601"/>
      <x:c r="N106" s="601"/>
      <x:c r="O106" s="602"/>
    </x:row>
    <x:row r="107">
      <x:c r="A107" s="580" t="n">
        <x:v>46302</x:v>
      </x:c>
      <x:c r="B107" s="581" t="str">
        <x:v>Wed</x:v>
      </x:c>
      <x:c r="C107" s="581" t="n">
        <x:v>5</x:v>
      </x:c>
      <x:c r="D107" s="581" t="str">
        <x:v>BECM 3208</x:v>
      </x:c>
      <x:c r="E107" s="581" t="str">
        <x:v>Regular</x:v>
      </x:c>
      <x:c r="F107" s="601" t="str">
        <x:v>MSH/MSA</x:v>
      </x:c>
      <x:c r="G107" s="601" t="str">
        <x:v>7-9 • 02:30 PM–05:00 PM • Room 501</x:v>
      </x:c>
      <x:c r="H107" s="601" t="str">
        <x:v>Wed PM</x:v>
      </x:c>
      <x:c r="I107" s="601" t="str">
        <x:f>IF(E107="Extra",IF(AND(A107&lt;&gt;"",D107&lt;&gt;""),"Yes",""),IF(COUNTIF('Routine &amp; Holidays'!$M$8:$M$35,A107)&gt;0,"No",IF(D107="BECM 3204",IF(H107=Dashboard!$C$5,"Yes","No"),IF(D107="BECM 3208",IF(H107=Dashboard!$C$6,"Yes","No"),IF(D107="CE 3224",IF(H107=Dashboard!$C$7,"Yes","No"),IF(D107="BECM 3200",IF(Dashboard!$C$8="Every Week","Yes",IF(Dashboard!$C$8="Odd Weeks",IF(MOD(C107,2)=1,"Yes","No"),IF(MOD(C107,2)=0,"Yes","No"))),"Yes"))))))</x:f>
        <x:v>No</x:v>
      </x:c>
      <x:c r="J107" s="601"/>
      <x:c r="K107" s="601" t="str">
        <x:v>None</x:v>
      </x:c>
      <x:c r="L107" s="601"/>
      <x:c r="M107" s="601"/>
      <x:c r="N107" s="601"/>
      <x:c r="O107" s="602"/>
    </x:row>
    <x:row r="108">
      <x:c r="A108" s="580" t="n">
        <x:v>46302</x:v>
      </x:c>
      <x:c r="B108" s="581" t="str">
        <x:v>Wed</x:v>
      </x:c>
      <x:c r="C108" s="581" t="n">
        <x:v>5</x:v>
      </x:c>
      <x:c r="D108" s="581" t="str">
        <x:v>CE 3213</x:v>
      </x:c>
      <x:c r="E108" s="581" t="str">
        <x:v>Regular</x:v>
      </x:c>
      <x:c r="F108" s="601" t="str">
        <x:v>HRS/MKI</x:v>
      </x:c>
      <x:c r="G108" s="601" t="str">
        <x:v>3rd • 09:40 AM–10:30 AM • Room 501</x:v>
      </x:c>
      <x:c r="H108" s="601" t="str">
        <x:v>WED P3</x:v>
      </x:c>
      <x:c r="I108" s="601" t="str">
        <x:f>IF(E108="Extra",IF(AND(A108&lt;&gt;"",D108&lt;&gt;""),"Yes",""),IF(COUNTIF('Routine &amp; Holidays'!$M$8:$M$35,A108)&gt;0,"No",IF(D108="BECM 3204",IF(H108=Dashboard!$C$5,"Yes","No"),IF(D108="BECM 3208",IF(H108=Dashboard!$C$6,"Yes","No"),IF(D108="CE 3224",IF(H108=Dashboard!$C$7,"Yes","No"),IF(D108="BECM 3200",IF(Dashboard!$C$8="Every Week","Yes",IF(Dashboard!$C$8="Odd Weeks",IF(MOD(C108,2)=1,"Yes","No"),IF(MOD(C108,2)=0,"Yes","No"))),"Yes"))))))</x:f>
        <x:v>Yes</x:v>
      </x:c>
      <x:c r="J108" s="601"/>
      <x:c r="K108" s="601" t="str">
        <x:v>None</x:v>
      </x:c>
      <x:c r="L108" s="601"/>
      <x:c r="M108" s="601"/>
      <x:c r="N108" s="601"/>
      <x:c r="O108" s="602"/>
    </x:row>
    <x:row r="109">
      <x:c r="A109" s="580" t="n">
        <x:v>46302</x:v>
      </x:c>
      <x:c r="B109" s="581" t="str">
        <x:v>Wed</x:v>
      </x:c>
      <x:c r="C109" s="581" t="n">
        <x:v>5</x:v>
      </x:c>
      <x:c r="D109" s="581" t="str">
        <x:v>CE 3211</x:v>
      </x:c>
      <x:c r="E109" s="581" t="str">
        <x:v>Regular</x:v>
      </x:c>
      <x:c r="F109" s="601" t="str">
        <x:v>ATB</x:v>
      </x:c>
      <x:c r="G109" s="601" t="str">
        <x:v>4th • 10:40 AM–11:30 AM • Room 501</x:v>
      </x:c>
      <x:c r="H109" s="601" t="str">
        <x:v>WED P4</x:v>
      </x:c>
      <x:c r="I109" s="601" t="str">
        <x:f>IF(E109="Extra",IF(AND(A109&lt;&gt;"",D109&lt;&gt;""),"Yes",""),IF(COUNTIF('Routine &amp; Holidays'!$M$8:$M$35,A109)&gt;0,"No",IF(D109="BECM 3204",IF(H109=Dashboard!$C$5,"Yes","No"),IF(D109="BECM 3208",IF(H109=Dashboard!$C$6,"Yes","No"),IF(D109="CE 3224",IF(H109=Dashboard!$C$7,"Yes","No"),IF(D109="BECM 3200",IF(Dashboard!$C$8="Every Week","Yes",IF(Dashboard!$C$8="Odd Weeks",IF(MOD(C109,2)=1,"Yes","No"),IF(MOD(C109,2)=0,"Yes","No"))),"Yes"))))))</x:f>
        <x:v>Yes</x:v>
      </x:c>
      <x:c r="J109" s="601"/>
      <x:c r="K109" s="601" t="str">
        <x:v>None</x:v>
      </x:c>
      <x:c r="L109" s="601"/>
      <x:c r="M109" s="601"/>
      <x:c r="N109" s="601"/>
      <x:c r="O109" s="602"/>
    </x:row>
    <x:row r="110">
      <x:c r="A110" s="580" t="n">
        <x:v>46302</x:v>
      </x:c>
      <x:c r="B110" s="581" t="str">
        <x:v>Wed</x:v>
      </x:c>
      <x:c r="C110" s="581" t="n">
        <x:v>5</x:v>
      </x:c>
      <x:c r="D110" s="581" t="str">
        <x:v>CE 3223</x:v>
      </x:c>
      <x:c r="E110" s="581" t="str">
        <x:v>Regular</x:v>
      </x:c>
      <x:c r="F110" s="601" t="str">
        <x:v>MHI</x:v>
      </x:c>
      <x:c r="G110" s="601" t="str">
        <x:v>5th • 11:30 AM–12:20 PM • Room 501</x:v>
      </x:c>
      <x:c r="H110" s="601" t="str">
        <x:v>WED P5</x:v>
      </x:c>
      <x:c r="I110" s="601" t="str">
        <x:f>IF(E110="Extra",IF(AND(A110&lt;&gt;"",D110&lt;&gt;""),"Yes",""),IF(COUNTIF('Routine &amp; Holidays'!$M$8:$M$35,A110)&gt;0,"No",IF(D110="BECM 3204",IF(H110=Dashboard!$C$5,"Yes","No"),IF(D110="BECM 3208",IF(H110=Dashboard!$C$6,"Yes","No"),IF(D110="CE 3224",IF(H110=Dashboard!$C$7,"Yes","No"),IF(D110="BECM 3200",IF(Dashboard!$C$8="Every Week","Yes",IF(Dashboard!$C$8="Odd Weeks",IF(MOD(C110,2)=1,"Yes","No"),IF(MOD(C110,2)=0,"Yes","No"))),"Yes"))))))</x:f>
        <x:v>Yes</x:v>
      </x:c>
      <x:c r="J110" s="601"/>
      <x:c r="K110" s="601" t="str">
        <x:v>None</x:v>
      </x:c>
      <x:c r="L110" s="601"/>
      <x:c r="M110" s="601"/>
      <x:c r="N110" s="601"/>
      <x:c r="O110" s="602"/>
    </x:row>
    <x:row r="111">
      <x:c r="A111" s="580" t="n">
        <x:v>46302</x:v>
      </x:c>
      <x:c r="B111" s="581" t="str">
        <x:v>Wed</x:v>
      </x:c>
      <x:c r="C111" s="581" t="n">
        <x:v>5</x:v>
      </x:c>
      <x:c r="D111" s="581" t="str">
        <x:v>BECM 3205</x:v>
      </x:c>
      <x:c r="E111" s="581" t="str">
        <x:v>Regular</x:v>
      </x:c>
      <x:c r="F111" s="601" t="str">
        <x:v>MSH/AAM</x:v>
      </x:c>
      <x:c r="G111" s="601" t="str">
        <x:v>6th • 12:20 PM–01:10 PM • Room 501</x:v>
      </x:c>
      <x:c r="H111" s="601" t="str">
        <x:v>WED P6</x:v>
      </x:c>
      <x:c r="I111" s="601" t="str">
        <x:f>IF(E111="Extra",IF(AND(A111&lt;&gt;"",D111&lt;&gt;""),"Yes",""),IF(COUNTIF('Routine &amp; Holidays'!$M$8:$M$35,A111)&gt;0,"No",IF(D111="BECM 3204",IF(H111=Dashboard!$C$5,"Yes","No"),IF(D111="BECM 3208",IF(H111=Dashboard!$C$6,"Yes","No"),IF(D111="CE 3224",IF(H111=Dashboard!$C$7,"Yes","No"),IF(D111="BECM 3200",IF(Dashboard!$C$8="Every Week","Yes",IF(Dashboard!$C$8="Odd Weeks",IF(MOD(C111,2)=1,"Yes","No"),IF(MOD(C111,2)=0,"Yes","No"))),"Yes"))))))</x:f>
        <x:v>Yes</x:v>
      </x:c>
      <x:c r="J111" s="601"/>
      <x:c r="K111" s="601" t="str">
        <x:v>None</x:v>
      </x:c>
      <x:c r="L111" s="601"/>
      <x:c r="M111" s="601"/>
      <x:c r="N111" s="601"/>
      <x:c r="O111" s="602"/>
    </x:row>
    <x:row r="112">
      <x:c r="A112" s="580" t="n">
        <x:v>46303</x:v>
      </x:c>
      <x:c r="B112" s="581" t="str">
        <x:v>Thurs</x:v>
      </x:c>
      <x:c r="C112" s="581" t="n">
        <x:v>5</x:v>
      </x:c>
      <x:c r="D112" s="581" t="str">
        <x:v>CE 3224</x:v>
      </x:c>
      <x:c r="E112" s="581" t="str">
        <x:v>Regular</x:v>
      </x:c>
      <x:c r="F112" s="601" t="str">
        <x:v>MHI/MRA</x:v>
      </x:c>
      <x:c r="G112" s="601" t="str">
        <x:v>7-9 • 02:30 PM–05:00 PM • Room 405</x:v>
      </x:c>
      <x:c r="H112" s="601" t="str">
        <x:v>Thu PM</x:v>
      </x:c>
      <x:c r="I112" s="601" t="str">
        <x:f>IF(E112="Extra",IF(AND(A112&lt;&gt;"",D112&lt;&gt;""),"Yes",""),IF(COUNTIF('Routine &amp; Holidays'!$M$8:$M$35,A112)&gt;0,"No",IF(D112="BECM 3204",IF(H112=Dashboard!$C$5,"Yes","No"),IF(D112="BECM 3208",IF(H112=Dashboard!$C$6,"Yes","No"),IF(D112="CE 3224",IF(H112=Dashboard!$C$7,"Yes","No"),IF(D112="BECM 3200",IF(Dashboard!$C$8="Every Week","Yes",IF(Dashboard!$C$8="Odd Weeks",IF(MOD(C112,2)=1,"Yes","No"),IF(MOD(C112,2)=0,"Yes","No"))),"Yes"))))))</x:f>
        <x:v>No</x:v>
      </x:c>
      <x:c r="J112" s="601"/>
      <x:c r="K112" s="601" t="str">
        <x:v>None</x:v>
      </x:c>
      <x:c r="L112" s="601"/>
      <x:c r="M112" s="601"/>
      <x:c r="N112" s="601"/>
      <x:c r="O112" s="602"/>
    </x:row>
    <x:row r="113">
      <x:c r="A113" s="580" t="n">
        <x:v>46303</x:v>
      </x:c>
      <x:c r="B113" s="581" t="str">
        <x:v>Thurs</x:v>
      </x:c>
      <x:c r="C113" s="581" t="n">
        <x:v>5</x:v>
      </x:c>
      <x:c r="D113" s="581" t="str">
        <x:v>BECM 3204</x:v>
      </x:c>
      <x:c r="E113" s="581" t="str">
        <x:v>Regular</x:v>
      </x:c>
      <x:c r="F113" s="601" t="str">
        <x:v>HRS/MR</x:v>
      </x:c>
      <x:c r="G113" s="601" t="str">
        <x:v>1-3 • 08:00 AM–10:30 AM</x:v>
      </x:c>
      <x:c r="H113" s="601" t="str">
        <x:v>Thu AM</x:v>
      </x:c>
      <x:c r="I113" s="601" t="str">
        <x:f>IF(E113="Extra",IF(AND(A113&lt;&gt;"",D113&lt;&gt;""),"Yes",""),IF(COUNTIF('Routine &amp; Holidays'!$M$8:$M$35,A113)&gt;0,"No",IF(D113="BECM 3204",IF(H113=Dashboard!$C$5,"Yes","No"),IF(D113="BECM 3208",IF(H113=Dashboard!$C$6,"Yes","No"),IF(D113="CE 3224",IF(H113=Dashboard!$C$7,"Yes","No"),IF(D113="BECM 3200",IF(Dashboard!$C$8="Every Week","Yes",IF(Dashboard!$C$8="Odd Weeks",IF(MOD(C113,2)=1,"Yes","No"),IF(MOD(C113,2)=0,"Yes","No"))),"Yes"))))))</x:f>
        <x:v>No</x:v>
      </x:c>
      <x:c r="J113" s="601"/>
      <x:c r="K113" s="601" t="str">
        <x:v>None</x:v>
      </x:c>
      <x:c r="L113" s="601"/>
      <x:c r="M113" s="601"/>
      <x:c r="N113" s="601"/>
      <x:c r="O113" s="602"/>
    </x:row>
    <x:row r="114">
      <x:c r="A114" s="580" t="n">
        <x:v>46303</x:v>
      </x:c>
      <x:c r="B114" s="581" t="str">
        <x:v>Thurs</x:v>
      </x:c>
      <x:c r="C114" s="581" t="n">
        <x:v>5</x:v>
      </x:c>
      <x:c r="D114" s="581" t="str">
        <x:v>BECM 3205</x:v>
      </x:c>
      <x:c r="E114" s="581" t="str">
        <x:v>Regular</x:v>
      </x:c>
      <x:c r="F114" s="601" t="str">
        <x:v>MSH</x:v>
      </x:c>
      <x:c r="G114" s="601" t="str">
        <x:v>4th • 10:40 AM–11:30 AM • Room 406</x:v>
      </x:c>
      <x:c r="H114" s="601" t="str">
        <x:v>THURS P4</x:v>
      </x:c>
      <x:c r="I114" s="601" t="str">
        <x:f>IF(E114="Extra",IF(AND(A114&lt;&gt;"",D114&lt;&gt;""),"Yes",""),IF(COUNTIF('Routine &amp; Holidays'!$M$8:$M$35,A114)&gt;0,"No",IF(D114="BECM 3204",IF(H114=Dashboard!$C$5,"Yes","No"),IF(D114="BECM 3208",IF(H114=Dashboard!$C$6,"Yes","No"),IF(D114="CE 3224",IF(H114=Dashboard!$C$7,"Yes","No"),IF(D114="BECM 3200",IF(Dashboard!$C$8="Every Week","Yes",IF(Dashboard!$C$8="Odd Weeks",IF(MOD(C114,2)=1,"Yes","No"),IF(MOD(C114,2)=0,"Yes","No"))),"Yes"))))))</x:f>
        <x:v>Yes</x:v>
      </x:c>
      <x:c r="J114" s="601"/>
      <x:c r="K114" s="601" t="str">
        <x:v>None</x:v>
      </x:c>
      <x:c r="L114" s="601"/>
      <x:c r="M114" s="601"/>
      <x:c r="N114" s="601"/>
      <x:c r="O114" s="602"/>
    </x:row>
    <x:row r="115">
      <x:c r="A115" s="580" t="n">
        <x:v>46303</x:v>
      </x:c>
      <x:c r="B115" s="581" t="str">
        <x:v>Thurs</x:v>
      </x:c>
      <x:c r="C115" s="581" t="n">
        <x:v>5</x:v>
      </x:c>
      <x:c r="D115" s="581" t="str">
        <x:v>CE 3211</x:v>
      </x:c>
      <x:c r="E115" s="581" t="str">
        <x:v>Regular</x:v>
      </x:c>
      <x:c r="F115" s="601" t="str">
        <x:v>MKI/ATB</x:v>
      </x:c>
      <x:c r="G115" s="601" t="str">
        <x:v>5th • 11:30 AM–12:20 PM • Room 406</x:v>
      </x:c>
      <x:c r="H115" s="601" t="str">
        <x:v>THURS P5</x:v>
      </x:c>
      <x:c r="I115" s="601" t="str">
        <x:f>IF(E115="Extra",IF(AND(A115&lt;&gt;"",D115&lt;&gt;""),"Yes",""),IF(COUNTIF('Routine &amp; Holidays'!$M$8:$M$35,A115)&gt;0,"No",IF(D115="BECM 3204",IF(H115=Dashboard!$C$5,"Yes","No"),IF(D115="BECM 3208",IF(H115=Dashboard!$C$6,"Yes","No"),IF(D115="CE 3224",IF(H115=Dashboard!$C$7,"Yes","No"),IF(D115="BECM 3200",IF(Dashboard!$C$8="Every Week","Yes",IF(Dashboard!$C$8="Odd Weeks",IF(MOD(C115,2)=1,"Yes","No"),IF(MOD(C115,2)=0,"Yes","No"))),"Yes"))))))</x:f>
        <x:v>Yes</x:v>
      </x:c>
      <x:c r="J115" s="601"/>
      <x:c r="K115" s="601" t="str">
        <x:v>None</x:v>
      </x:c>
      <x:c r="L115" s="601"/>
      <x:c r="M115" s="601"/>
      <x:c r="N115" s="601"/>
      <x:c r="O115" s="602"/>
    </x:row>
    <x:row r="116">
      <x:c r="A116" s="580" t="n">
        <x:v>46303</x:v>
      </x:c>
      <x:c r="B116" s="581" t="str">
        <x:v>Thurs</x:v>
      </x:c>
      <x:c r="C116" s="581" t="n">
        <x:v>5</x:v>
      </x:c>
      <x:c r="D116" s="581" t="str">
        <x:v>BECM 3201</x:v>
      </x:c>
      <x:c r="E116" s="581" t="str">
        <x:v>Regular</x:v>
      </x:c>
      <x:c r="F116" s="601" t="str">
        <x:v>MR/MRA</x:v>
      </x:c>
      <x:c r="G116" s="601" t="str">
        <x:v>6th • 12:20 PM–01:10 PM • Room 406</x:v>
      </x:c>
      <x:c r="H116" s="601" t="str">
        <x:v>THURS P6</x:v>
      </x:c>
      <x:c r="I116" s="601" t="str">
        <x:f>IF(E116="Extra",IF(AND(A116&lt;&gt;"",D116&lt;&gt;""),"Yes",""),IF(COUNTIF('Routine &amp; Holidays'!$M$8:$M$35,A116)&gt;0,"No",IF(D116="BECM 3204",IF(H116=Dashboard!$C$5,"Yes","No"),IF(D116="BECM 3208",IF(H116=Dashboard!$C$6,"Yes","No"),IF(D116="CE 3224",IF(H116=Dashboard!$C$7,"Yes","No"),IF(D116="BECM 3200",IF(Dashboard!$C$8="Every Week","Yes",IF(Dashboard!$C$8="Odd Weeks",IF(MOD(C116,2)=1,"Yes","No"),IF(MOD(C116,2)=0,"Yes","No"))),"Yes"))))))</x:f>
        <x:v>Yes</x:v>
      </x:c>
      <x:c r="J116" s="601"/>
      <x:c r="K116" s="601" t="str">
        <x:v>None</x:v>
      </x:c>
      <x:c r="L116" s="601"/>
      <x:c r="M116" s="601"/>
      <x:c r="N116" s="601"/>
      <x:c r="O116" s="602"/>
    </x:row>
    <x:row r="117">
      <x:c r="A117" s="580" t="n">
        <x:v>46306</x:v>
      </x:c>
      <x:c r="B117" s="581" t="str">
        <x:v>Sun</x:v>
      </x:c>
      <x:c r="C117" s="581" t="n">
        <x:v>6</x:v>
      </x:c>
      <x:c r="D117" s="581" t="str">
        <x:v>BECM 3204</x:v>
      </x:c>
      <x:c r="E117" s="581" t="str">
        <x:v>Regular</x:v>
      </x:c>
      <x:c r="F117" s="601" t="str">
        <x:v>HRS/MR</x:v>
      </x:c>
      <x:c r="G117" s="601" t="str">
        <x:v>7-9 • 02:30 PM–05:00 PM • Room 404</x:v>
      </x:c>
      <x:c r="H117" s="601" t="str">
        <x:v>Sun PM</x:v>
      </x:c>
      <x:c r="I117" s="601" t="str">
        <x:f>IF(E117="Extra",IF(AND(A117&lt;&gt;"",D117&lt;&gt;""),"Yes",""),IF(COUNTIF('Routine &amp; Holidays'!$M$8:$M$35,A117)&gt;0,"No",IF(D117="BECM 3204",IF(H117=Dashboard!$C$5,"Yes","No"),IF(D117="BECM 3208",IF(H117=Dashboard!$C$6,"Yes","No"),IF(D117="CE 3224",IF(H117=Dashboard!$C$7,"Yes","No"),IF(D117="BECM 3200",IF(Dashboard!$C$8="Every Week","Yes",IF(Dashboard!$C$8="Odd Weeks",IF(MOD(C117,2)=1,"Yes","No"),IF(MOD(C117,2)=0,"Yes","No"))),"Yes"))))))</x:f>
        <x:v>Yes</x:v>
      </x:c>
      <x:c r="J117" s="601"/>
      <x:c r="K117" s="601" t="str">
        <x:v>None</x:v>
      </x:c>
      <x:c r="L117" s="601"/>
      <x:c r="M117" s="601"/>
      <x:c r="N117" s="601"/>
      <x:c r="O117" s="602"/>
    </x:row>
    <x:row r="118">
      <x:c r="A118" s="580" t="n">
        <x:v>46306</x:v>
      </x:c>
      <x:c r="B118" s="581" t="str">
        <x:v>Sun</x:v>
      </x:c>
      <x:c r="C118" s="581" t="n">
        <x:v>6</x:v>
      </x:c>
      <x:c r="D118" s="581" t="str">
        <x:v>CE 3213</x:v>
      </x:c>
      <x:c r="E118" s="581" t="str">
        <x:v>Regular</x:v>
      </x:c>
      <x:c r="F118" s="601" t="str">
        <x:v>HRS</x:v>
      </x:c>
      <x:c r="G118" s="601" t="str">
        <x:v>4th • 10:40 AM–11:30 AM • Room 501</x:v>
      </x:c>
      <x:c r="H118" s="601" t="str">
        <x:v>SUN P4</x:v>
      </x:c>
      <x:c r="I118" s="601" t="str">
        <x:f>IF(E118="Extra",IF(AND(A118&lt;&gt;"",D118&lt;&gt;""),"Yes",""),IF(COUNTIF('Routine &amp; Holidays'!$M$8:$M$35,A118)&gt;0,"No",IF(D118="BECM 3204",IF(H118=Dashboard!$C$5,"Yes","No"),IF(D118="BECM 3208",IF(H118=Dashboard!$C$6,"Yes","No"),IF(D118="CE 3224",IF(H118=Dashboard!$C$7,"Yes","No"),IF(D118="BECM 3200",IF(Dashboard!$C$8="Every Week","Yes",IF(Dashboard!$C$8="Odd Weeks",IF(MOD(C118,2)=1,"Yes","No"),IF(MOD(C118,2)=0,"Yes","No"))),"Yes"))))))</x:f>
        <x:v>Yes</x:v>
      </x:c>
      <x:c r="J118" s="601"/>
      <x:c r="K118" s="601" t="str">
        <x:v>None</x:v>
      </x:c>
      <x:c r="L118" s="601"/>
      <x:c r="M118" s="601"/>
      <x:c r="N118" s="601"/>
      <x:c r="O118" s="602"/>
    </x:row>
    <x:row r="119">
      <x:c r="A119" s="580" t="n">
        <x:v>46306</x:v>
      </x:c>
      <x:c r="B119" s="581" t="str">
        <x:v>Sun</x:v>
      </x:c>
      <x:c r="C119" s="581" t="n">
        <x:v>6</x:v>
      </x:c>
      <x:c r="D119" s="581" t="str">
        <x:v>CE 3223</x:v>
      </x:c>
      <x:c r="E119" s="581" t="str">
        <x:v>Regular</x:v>
      </x:c>
      <x:c r="F119" s="601" t="str">
        <x:v>MSA</x:v>
      </x:c>
      <x:c r="G119" s="601" t="str">
        <x:v>5th • 11:30 AM–12:20 PM • Room 501</x:v>
      </x:c>
      <x:c r="H119" s="601" t="str">
        <x:v>SUN P5</x:v>
      </x:c>
      <x:c r="I119" s="601" t="str">
        <x:f>IF(E119="Extra",IF(AND(A119&lt;&gt;"",D119&lt;&gt;""),"Yes",""),IF(COUNTIF('Routine &amp; Holidays'!$M$8:$M$35,A119)&gt;0,"No",IF(D119="BECM 3204",IF(H119=Dashboard!$C$5,"Yes","No"),IF(D119="BECM 3208",IF(H119=Dashboard!$C$6,"Yes","No"),IF(D119="CE 3224",IF(H119=Dashboard!$C$7,"Yes","No"),IF(D119="BECM 3200",IF(Dashboard!$C$8="Every Week","Yes",IF(Dashboard!$C$8="Odd Weeks",IF(MOD(C119,2)=1,"Yes","No"),IF(MOD(C119,2)=0,"Yes","No"))),"Yes"))))))</x:f>
        <x:v>Yes</x:v>
      </x:c>
      <x:c r="J119" s="601"/>
      <x:c r="K119" s="601" t="str">
        <x:v>None</x:v>
      </x:c>
      <x:c r="L119" s="601"/>
      <x:c r="M119" s="601"/>
      <x:c r="N119" s="601"/>
      <x:c r="O119" s="602"/>
    </x:row>
    <x:row r="120">
      <x:c r="A120" s="580" t="n">
        <x:v>46306</x:v>
      </x:c>
      <x:c r="B120" s="581" t="str">
        <x:v>Sun</x:v>
      </x:c>
      <x:c r="C120" s="581" t="n">
        <x:v>6</x:v>
      </x:c>
      <x:c r="D120" s="581" t="str">
        <x:v>CE 3211</x:v>
      </x:c>
      <x:c r="E120" s="581" t="str">
        <x:v>Regular</x:v>
      </x:c>
      <x:c r="F120" s="601" t="str">
        <x:v>MKI</x:v>
      </x:c>
      <x:c r="G120" s="601" t="str">
        <x:v>6th • 12:20 PM–01:10 PM • Room 501</x:v>
      </x:c>
      <x:c r="H120" s="601" t="str">
        <x:v>SUN P6</x:v>
      </x:c>
      <x:c r="I120" s="601" t="str">
        <x:f>IF(E120="Extra",IF(AND(A120&lt;&gt;"",D120&lt;&gt;""),"Yes",""),IF(COUNTIF('Routine &amp; Holidays'!$M$8:$M$35,A120)&gt;0,"No",IF(D120="BECM 3204",IF(H120=Dashboard!$C$5,"Yes","No"),IF(D120="BECM 3208",IF(H120=Dashboard!$C$6,"Yes","No"),IF(D120="CE 3224",IF(H120=Dashboard!$C$7,"Yes","No"),IF(D120="BECM 3200",IF(Dashboard!$C$8="Every Week","Yes",IF(Dashboard!$C$8="Odd Weeks",IF(MOD(C120,2)=1,"Yes","No"),IF(MOD(C120,2)=0,"Yes","No"))),"Yes"))))))</x:f>
        <x:v>Yes</x:v>
      </x:c>
      <x:c r="J120" s="601"/>
      <x:c r="K120" s="601" t="str">
        <x:v>None</x:v>
      </x:c>
      <x:c r="L120" s="601"/>
      <x:c r="M120" s="601"/>
      <x:c r="N120" s="601"/>
      <x:c r="O120" s="602"/>
    </x:row>
    <x:row r="121">
      <x:c r="A121" s="580" t="n">
        <x:v>46307</x:v>
      </x:c>
      <x:c r="B121" s="581" t="str">
        <x:v>Mon</x:v>
      </x:c>
      <x:c r="C121" s="581" t="n">
        <x:v>6</x:v>
      </x:c>
      <x:c r="D121" s="581" t="str">
        <x:v>BECM 3200</x:v>
      </x:c>
      <x:c r="E121" s="581" t="str">
        <x:v>Regular</x:v>
      </x:c>
      <x:c r="F121" s="601" t="str">
        <x:v>ALL</x:v>
      </x:c>
      <x:c r="G121" s="601" t="str">
        <x:v>7-9 • 02:30 PM–05:00 PM</x:v>
      </x:c>
      <x:c r="H121" s="601" t="str">
        <x:v>Mon PM</x:v>
      </x:c>
      <x:c r="I121" s="601" t="str">
        <x:f>IF(E121="Extra",IF(AND(A121&lt;&gt;"",D121&lt;&gt;""),"Yes",""),IF(COUNTIF('Routine &amp; Holidays'!$M$8:$M$35,A121)&gt;0,"No",IF(D121="BECM 3204",IF(H121=Dashboard!$C$5,"Yes","No"),IF(D121="BECM 3208",IF(H121=Dashboard!$C$6,"Yes","No"),IF(D121="CE 3224",IF(H121=Dashboard!$C$7,"Yes","No"),IF(D121="BECM 3200",IF(Dashboard!$C$8="Every Week","Yes",IF(Dashboard!$C$8="Odd Weeks",IF(MOD(C121,2)=1,"Yes","No"),IF(MOD(C121,2)=0,"Yes","No"))),"Yes"))))))</x:f>
        <x:v>No</x:v>
      </x:c>
      <x:c r="J121" s="601"/>
      <x:c r="K121" s="601" t="str">
        <x:v>None</x:v>
      </x:c>
      <x:c r="L121" s="601"/>
      <x:c r="M121" s="601"/>
      <x:c r="N121" s="601"/>
      <x:c r="O121" s="602"/>
    </x:row>
    <x:row r="122">
      <x:c r="A122" s="580" t="n">
        <x:v>46307</x:v>
      </x:c>
      <x:c r="B122" s="581" t="str">
        <x:v>Mon</x:v>
      </x:c>
      <x:c r="C122" s="581" t="n">
        <x:v>6</x:v>
      </x:c>
      <x:c r="D122" s="581" t="str">
        <x:v>CE 3223</x:v>
      </x:c>
      <x:c r="E122" s="581" t="str">
        <x:v>Regular</x:v>
      </x:c>
      <x:c r="F122" s="601" t="str">
        <x:v>MHI/MSA</x:v>
      </x:c>
      <x:c r="G122" s="601" t="str">
        <x:v>3rd • 09:40 AM–10:30 AM • Room 404</x:v>
      </x:c>
      <x:c r="H122" s="601" t="str">
        <x:v>MON P3</x:v>
      </x:c>
      <x:c r="I122" s="601" t="str">
        <x:f>IF(E122="Extra",IF(AND(A122&lt;&gt;"",D122&lt;&gt;""),"Yes",""),IF(COUNTIF('Routine &amp; Holidays'!$M$8:$M$35,A122)&gt;0,"No",IF(D122="BECM 3204",IF(H122=Dashboard!$C$5,"Yes","No"),IF(D122="BECM 3208",IF(H122=Dashboard!$C$6,"Yes","No"),IF(D122="CE 3224",IF(H122=Dashboard!$C$7,"Yes","No"),IF(D122="BECM 3200",IF(Dashboard!$C$8="Every Week","Yes",IF(Dashboard!$C$8="Odd Weeks",IF(MOD(C122,2)=1,"Yes","No"),IF(MOD(C122,2)=0,"Yes","No"))),"Yes"))))))</x:f>
        <x:v>Yes</x:v>
      </x:c>
      <x:c r="J122" s="601"/>
      <x:c r="K122" s="601" t="str">
        <x:v>None</x:v>
      </x:c>
      <x:c r="L122" s="601"/>
      <x:c r="M122" s="601"/>
      <x:c r="N122" s="601"/>
      <x:c r="O122" s="602"/>
    </x:row>
    <x:row r="123">
      <x:c r="A123" s="580" t="n">
        <x:v>46307</x:v>
      </x:c>
      <x:c r="B123" s="581" t="str">
        <x:v>Mon</x:v>
      </x:c>
      <x:c r="C123" s="581" t="n">
        <x:v>6</x:v>
      </x:c>
      <x:c r="D123" s="581" t="str">
        <x:v>BECM 3201</x:v>
      </x:c>
      <x:c r="E123" s="581" t="str">
        <x:v>Regular</x:v>
      </x:c>
      <x:c r="F123" s="601" t="str">
        <x:v>MR</x:v>
      </x:c>
      <x:c r="G123" s="601" t="str">
        <x:v>5th • 11:30 AM–12:20 PM • Room 405</x:v>
      </x:c>
      <x:c r="H123" s="601" t="str">
        <x:v>MON P5</x:v>
      </x:c>
      <x:c r="I123" s="601" t="str">
        <x:f>IF(E123="Extra",IF(AND(A123&lt;&gt;"",D123&lt;&gt;""),"Yes",""),IF(COUNTIF('Routine &amp; Holidays'!$M$8:$M$35,A123)&gt;0,"No",IF(D123="BECM 3204",IF(H123=Dashboard!$C$5,"Yes","No"),IF(D123="BECM 3208",IF(H123=Dashboard!$C$6,"Yes","No"),IF(D123="CE 3224",IF(H123=Dashboard!$C$7,"Yes","No"),IF(D123="BECM 3200",IF(Dashboard!$C$8="Every Week","Yes",IF(Dashboard!$C$8="Odd Weeks",IF(MOD(C123,2)=1,"Yes","No"),IF(MOD(C123,2)=0,"Yes","No"))),"Yes"))))))</x:f>
        <x:v>Yes</x:v>
      </x:c>
      <x:c r="J123" s="601"/>
      <x:c r="K123" s="601" t="str">
        <x:v>None</x:v>
      </x:c>
      <x:c r="L123" s="601"/>
      <x:c r="M123" s="601"/>
      <x:c r="N123" s="601"/>
      <x:c r="O123" s="602"/>
    </x:row>
    <x:row r="124">
      <x:c r="A124" s="580" t="n">
        <x:v>46307</x:v>
      </x:c>
      <x:c r="B124" s="581" t="str">
        <x:v>Mon</x:v>
      </x:c>
      <x:c r="C124" s="581" t="n">
        <x:v>6</x:v>
      </x:c>
      <x:c r="D124" s="581" t="str">
        <x:v>BECM 3205</x:v>
      </x:c>
      <x:c r="E124" s="581" t="str">
        <x:v>Regular</x:v>
      </x:c>
      <x:c r="F124" s="601" t="str">
        <x:v>AAM</x:v>
      </x:c>
      <x:c r="G124" s="601" t="str">
        <x:v>6th • 12:20 PM–01:10 PM • Room 405</x:v>
      </x:c>
      <x:c r="H124" s="601" t="str">
        <x:v>MON P6</x:v>
      </x:c>
      <x:c r="I124" s="601" t="str">
        <x:f>IF(E124="Extra",IF(AND(A124&lt;&gt;"",D124&lt;&gt;""),"Yes",""),IF(COUNTIF('Routine &amp; Holidays'!$M$8:$M$35,A124)&gt;0,"No",IF(D124="BECM 3204",IF(H124=Dashboard!$C$5,"Yes","No"),IF(D124="BECM 3208",IF(H124=Dashboard!$C$6,"Yes","No"),IF(D124="CE 3224",IF(H124=Dashboard!$C$7,"Yes","No"),IF(D124="BECM 3200",IF(Dashboard!$C$8="Every Week","Yes",IF(Dashboard!$C$8="Odd Weeks",IF(MOD(C124,2)=1,"Yes","No"),IF(MOD(C124,2)=0,"Yes","No"))),"Yes"))))))</x:f>
        <x:v>Yes</x:v>
      </x:c>
      <x:c r="J124" s="601"/>
      <x:c r="K124" s="601" t="str">
        <x:v>None</x:v>
      </x:c>
      <x:c r="L124" s="601"/>
      <x:c r="M124" s="601"/>
      <x:c r="N124" s="601"/>
      <x:c r="O124" s="602"/>
    </x:row>
    <x:row r="125">
      <x:c r="A125" s="580" t="n">
        <x:v>46308</x:v>
      </x:c>
      <x:c r="B125" s="581" t="str">
        <x:v>Tues</x:v>
      </x:c>
      <x:c r="C125" s="581" t="n">
        <x:v>6</x:v>
      </x:c>
      <x:c r="D125" s="581" t="str">
        <x:v>BECM 3208</x:v>
      </x:c>
      <x:c r="E125" s="581" t="str">
        <x:v>Regular</x:v>
      </x:c>
      <x:c r="F125" s="601" t="str">
        <x:v>MSH/MSA</x:v>
      </x:c>
      <x:c r="G125" s="601" t="str">
        <x:v>7-9 • 02:30 PM–05:00 PM</x:v>
      </x:c>
      <x:c r="H125" s="601" t="str">
        <x:v>Tue PM</x:v>
      </x:c>
      <x:c r="I125" s="601" t="str">
        <x:f>IF(E125="Extra",IF(AND(A125&lt;&gt;"",D125&lt;&gt;""),"Yes",""),IF(COUNTIF('Routine &amp; Holidays'!$M$8:$M$35,A125)&gt;0,"No",IF(D125="BECM 3204",IF(H125=Dashboard!$C$5,"Yes","No"),IF(D125="BECM 3208",IF(H125=Dashboard!$C$6,"Yes","No"),IF(D125="CE 3224",IF(H125=Dashboard!$C$7,"Yes","No"),IF(D125="BECM 3200",IF(Dashboard!$C$8="Every Week","Yes",IF(Dashboard!$C$8="Odd Weeks",IF(MOD(C125,2)=1,"Yes","No"),IF(MOD(C125,2)=0,"Yes","No"))),"Yes"))))))</x:f>
        <x:v>Yes</x:v>
      </x:c>
      <x:c r="J125" s="601"/>
      <x:c r="K125" s="601" t="str">
        <x:v>None</x:v>
      </x:c>
      <x:c r="L125" s="601"/>
      <x:c r="M125" s="601"/>
      <x:c r="N125" s="601"/>
      <x:c r="O125" s="602"/>
    </x:row>
    <x:row r="126">
      <x:c r="A126" s="580" t="n">
        <x:v>46308</x:v>
      </x:c>
      <x:c r="B126" s="581" t="str">
        <x:v>Tues</x:v>
      </x:c>
      <x:c r="C126" s="581" t="n">
        <x:v>6</x:v>
      </x:c>
      <x:c r="D126" s="581" t="str">
        <x:v>CE 3224</x:v>
      </x:c>
      <x:c r="E126" s="581" t="str">
        <x:v>Regular</x:v>
      </x:c>
      <x:c r="F126" s="601" t="str">
        <x:v>MHI/MRA</x:v>
      </x:c>
      <x:c r="G126" s="601" t="str">
        <x:v>1-3 • 08:00 AM–10:30 AM</x:v>
      </x:c>
      <x:c r="H126" s="601" t="str">
        <x:v>Tue AM</x:v>
      </x:c>
      <x:c r="I126" s="601" t="str">
        <x:f>IF(E126="Extra",IF(AND(A126&lt;&gt;"",D126&lt;&gt;""),"Yes",""),IF(COUNTIF('Routine &amp; Holidays'!$M$8:$M$35,A126)&gt;0,"No",IF(D126="BECM 3204",IF(H126=Dashboard!$C$5,"Yes","No"),IF(D126="BECM 3208",IF(H126=Dashboard!$C$6,"Yes","No"),IF(D126="CE 3224",IF(H126=Dashboard!$C$7,"Yes","No"),IF(D126="BECM 3200",IF(Dashboard!$C$8="Every Week","Yes",IF(Dashboard!$C$8="Odd Weeks",IF(MOD(C126,2)=1,"Yes","No"),IF(MOD(C126,2)=0,"Yes","No"))),"Yes"))))))</x:f>
        <x:v>Yes</x:v>
      </x:c>
      <x:c r="J126" s="601"/>
      <x:c r="K126" s="601" t="str">
        <x:v>None</x:v>
      </x:c>
      <x:c r="L126" s="601"/>
      <x:c r="M126" s="601"/>
      <x:c r="N126" s="601"/>
      <x:c r="O126" s="602"/>
    </x:row>
    <x:row r="127">
      <x:c r="A127" s="580" t="n">
        <x:v>46308</x:v>
      </x:c>
      <x:c r="B127" s="581" t="str">
        <x:v>Tues</x:v>
      </x:c>
      <x:c r="C127" s="581" t="n">
        <x:v>6</x:v>
      </x:c>
      <x:c r="D127" s="581" t="str">
        <x:v>CE 3213</x:v>
      </x:c>
      <x:c r="E127" s="581" t="str">
        <x:v>Regular</x:v>
      </x:c>
      <x:c r="F127" s="601" t="str">
        <x:v>MKI</x:v>
      </x:c>
      <x:c r="G127" s="601" t="str">
        <x:v>5th • 11:30 AM–12:20 PM • Room 405</x:v>
      </x:c>
      <x:c r="H127" s="601" t="str">
        <x:v>TUES P5</x:v>
      </x:c>
      <x:c r="I127" s="601" t="str">
        <x:f>IF(E127="Extra",IF(AND(A127&lt;&gt;"",D127&lt;&gt;""),"Yes",""),IF(COUNTIF('Routine &amp; Holidays'!$M$8:$M$35,A127)&gt;0,"No",IF(D127="BECM 3204",IF(H127=Dashboard!$C$5,"Yes","No"),IF(D127="BECM 3208",IF(H127=Dashboard!$C$6,"Yes","No"),IF(D127="CE 3224",IF(H127=Dashboard!$C$7,"Yes","No"),IF(D127="BECM 3200",IF(Dashboard!$C$8="Every Week","Yes",IF(Dashboard!$C$8="Odd Weeks",IF(MOD(C127,2)=1,"Yes","No"),IF(MOD(C127,2)=0,"Yes","No"))),"Yes"))))))</x:f>
        <x:v>Yes</x:v>
      </x:c>
      <x:c r="J127" s="601"/>
      <x:c r="K127" s="601" t="str">
        <x:v>None</x:v>
      </x:c>
      <x:c r="L127" s="601"/>
      <x:c r="M127" s="601"/>
      <x:c r="N127" s="601"/>
      <x:c r="O127" s="602"/>
    </x:row>
    <x:row r="128">
      <x:c r="A128" s="580" t="n">
        <x:v>46308</x:v>
      </x:c>
      <x:c r="B128" s="581" t="str">
        <x:v>Tues</x:v>
      </x:c>
      <x:c r="C128" s="581" t="n">
        <x:v>6</x:v>
      </x:c>
      <x:c r="D128" s="581" t="str">
        <x:v>BECM 3201</x:v>
      </x:c>
      <x:c r="E128" s="581" t="str">
        <x:v>Regular</x:v>
      </x:c>
      <x:c r="F128" s="601" t="str">
        <x:v>MRA</x:v>
      </x:c>
      <x:c r="G128" s="601" t="str">
        <x:v>6th • 12:20 PM–01:10 PM • Room 405</x:v>
      </x:c>
      <x:c r="H128" s="601" t="str">
        <x:v>TUES P6</x:v>
      </x:c>
      <x:c r="I128" s="601" t="str">
        <x:f>IF(E128="Extra",IF(AND(A128&lt;&gt;"",D128&lt;&gt;""),"Yes",""),IF(COUNTIF('Routine &amp; Holidays'!$M$8:$M$35,A128)&gt;0,"No",IF(D128="BECM 3204",IF(H128=Dashboard!$C$5,"Yes","No"),IF(D128="BECM 3208",IF(H128=Dashboard!$C$6,"Yes","No"),IF(D128="CE 3224",IF(H128=Dashboard!$C$7,"Yes","No"),IF(D128="BECM 3200",IF(Dashboard!$C$8="Every Week","Yes",IF(Dashboard!$C$8="Odd Weeks",IF(MOD(C128,2)=1,"Yes","No"),IF(MOD(C128,2)=0,"Yes","No"))),"Yes"))))))</x:f>
        <x:v>Yes</x:v>
      </x:c>
      <x:c r="J128" s="601"/>
      <x:c r="K128" s="601" t="str">
        <x:v>None</x:v>
      </x:c>
      <x:c r="L128" s="601"/>
      <x:c r="M128" s="601"/>
      <x:c r="N128" s="601"/>
      <x:c r="O128" s="602"/>
    </x:row>
    <x:row r="129">
      <x:c r="A129" s="580" t="n">
        <x:v>46309</x:v>
      </x:c>
      <x:c r="B129" s="581" t="str">
        <x:v>Wed</x:v>
      </x:c>
      <x:c r="C129" s="581" t="n">
        <x:v>6</x:v>
      </x:c>
      <x:c r="D129" s="581" t="str">
        <x:v>BECM 3208</x:v>
      </x:c>
      <x:c r="E129" s="581" t="str">
        <x:v>Regular</x:v>
      </x:c>
      <x:c r="F129" s="601" t="str">
        <x:v>MSH/MSA</x:v>
      </x:c>
      <x:c r="G129" s="601" t="str">
        <x:v>7-9 • 02:30 PM–05:00 PM • Room 501</x:v>
      </x:c>
      <x:c r="H129" s="601" t="str">
        <x:v>Wed PM</x:v>
      </x:c>
      <x:c r="I129" s="601" t="str">
        <x:f>IF(E129="Extra",IF(AND(A129&lt;&gt;"",D129&lt;&gt;""),"Yes",""),IF(COUNTIF('Routine &amp; Holidays'!$M$8:$M$35,A129)&gt;0,"No",IF(D129="BECM 3204",IF(H129=Dashboard!$C$5,"Yes","No"),IF(D129="BECM 3208",IF(H129=Dashboard!$C$6,"Yes","No"),IF(D129="CE 3224",IF(H129=Dashboard!$C$7,"Yes","No"),IF(D129="BECM 3200",IF(Dashboard!$C$8="Every Week","Yes",IF(Dashboard!$C$8="Odd Weeks",IF(MOD(C129,2)=1,"Yes","No"),IF(MOD(C129,2)=0,"Yes","No"))),"Yes"))))))</x:f>
        <x:v>No</x:v>
      </x:c>
      <x:c r="J129" s="601"/>
      <x:c r="K129" s="601" t="str">
        <x:v>None</x:v>
      </x:c>
      <x:c r="L129" s="601"/>
      <x:c r="M129" s="601"/>
      <x:c r="N129" s="601"/>
      <x:c r="O129" s="602"/>
    </x:row>
    <x:row r="130">
      <x:c r="A130" s="580" t="n">
        <x:v>46309</x:v>
      </x:c>
      <x:c r="B130" s="581" t="str">
        <x:v>Wed</x:v>
      </x:c>
      <x:c r="C130" s="581" t="n">
        <x:v>6</x:v>
      </x:c>
      <x:c r="D130" s="581" t="str">
        <x:v>CE 3213</x:v>
      </x:c>
      <x:c r="E130" s="581" t="str">
        <x:v>Regular</x:v>
      </x:c>
      <x:c r="F130" s="601" t="str">
        <x:v>HRS/MKI</x:v>
      </x:c>
      <x:c r="G130" s="601" t="str">
        <x:v>3rd • 09:40 AM–10:30 AM • Room 501</x:v>
      </x:c>
      <x:c r="H130" s="601" t="str">
        <x:v>WED P3</x:v>
      </x:c>
      <x:c r="I130" s="601" t="str">
        <x:f>IF(E130="Extra",IF(AND(A130&lt;&gt;"",D130&lt;&gt;""),"Yes",""),IF(COUNTIF('Routine &amp; Holidays'!$M$8:$M$35,A130)&gt;0,"No",IF(D130="BECM 3204",IF(H130=Dashboard!$C$5,"Yes","No"),IF(D130="BECM 3208",IF(H130=Dashboard!$C$6,"Yes","No"),IF(D130="CE 3224",IF(H130=Dashboard!$C$7,"Yes","No"),IF(D130="BECM 3200",IF(Dashboard!$C$8="Every Week","Yes",IF(Dashboard!$C$8="Odd Weeks",IF(MOD(C130,2)=1,"Yes","No"),IF(MOD(C130,2)=0,"Yes","No"))),"Yes"))))))</x:f>
        <x:v>Yes</x:v>
      </x:c>
      <x:c r="J130" s="601"/>
      <x:c r="K130" s="601" t="str">
        <x:v>None</x:v>
      </x:c>
      <x:c r="L130" s="601"/>
      <x:c r="M130" s="601"/>
      <x:c r="N130" s="601"/>
      <x:c r="O130" s="602"/>
    </x:row>
    <x:row r="131">
      <x:c r="A131" s="580" t="n">
        <x:v>46309</x:v>
      </x:c>
      <x:c r="B131" s="581" t="str">
        <x:v>Wed</x:v>
      </x:c>
      <x:c r="C131" s="581" t="n">
        <x:v>6</x:v>
      </x:c>
      <x:c r="D131" s="581" t="str">
        <x:v>CE 3211</x:v>
      </x:c>
      <x:c r="E131" s="581" t="str">
        <x:v>Regular</x:v>
      </x:c>
      <x:c r="F131" s="601" t="str">
        <x:v>ATB</x:v>
      </x:c>
      <x:c r="G131" s="601" t="str">
        <x:v>4th • 10:40 AM–11:30 AM • Room 501</x:v>
      </x:c>
      <x:c r="H131" s="601" t="str">
        <x:v>WED P4</x:v>
      </x:c>
      <x:c r="I131" s="601" t="str">
        <x:f>IF(E131="Extra",IF(AND(A131&lt;&gt;"",D131&lt;&gt;""),"Yes",""),IF(COUNTIF('Routine &amp; Holidays'!$M$8:$M$35,A131)&gt;0,"No",IF(D131="BECM 3204",IF(H131=Dashboard!$C$5,"Yes","No"),IF(D131="BECM 3208",IF(H131=Dashboard!$C$6,"Yes","No"),IF(D131="CE 3224",IF(H131=Dashboard!$C$7,"Yes","No"),IF(D131="BECM 3200",IF(Dashboard!$C$8="Every Week","Yes",IF(Dashboard!$C$8="Odd Weeks",IF(MOD(C131,2)=1,"Yes","No"),IF(MOD(C131,2)=0,"Yes","No"))),"Yes"))))))</x:f>
        <x:v>Yes</x:v>
      </x:c>
      <x:c r="J131" s="601"/>
      <x:c r="K131" s="601" t="str">
        <x:v>None</x:v>
      </x:c>
      <x:c r="L131" s="601"/>
      <x:c r="M131" s="601"/>
      <x:c r="N131" s="601"/>
      <x:c r="O131" s="602"/>
    </x:row>
    <x:row r="132">
      <x:c r="A132" s="580" t="n">
        <x:v>46309</x:v>
      </x:c>
      <x:c r="B132" s="581" t="str">
        <x:v>Wed</x:v>
      </x:c>
      <x:c r="C132" s="581" t="n">
        <x:v>6</x:v>
      </x:c>
      <x:c r="D132" s="581" t="str">
        <x:v>CE 3223</x:v>
      </x:c>
      <x:c r="E132" s="581" t="str">
        <x:v>Regular</x:v>
      </x:c>
      <x:c r="F132" s="601" t="str">
        <x:v>MHI</x:v>
      </x:c>
      <x:c r="G132" s="601" t="str">
        <x:v>5th • 11:30 AM–12:20 PM • Room 501</x:v>
      </x:c>
      <x:c r="H132" s="601" t="str">
        <x:v>WED P5</x:v>
      </x:c>
      <x:c r="I132" s="601" t="str">
        <x:f>IF(E132="Extra",IF(AND(A132&lt;&gt;"",D132&lt;&gt;""),"Yes",""),IF(COUNTIF('Routine &amp; Holidays'!$M$8:$M$35,A132)&gt;0,"No",IF(D132="BECM 3204",IF(H132=Dashboard!$C$5,"Yes","No"),IF(D132="BECM 3208",IF(H132=Dashboard!$C$6,"Yes","No"),IF(D132="CE 3224",IF(H132=Dashboard!$C$7,"Yes","No"),IF(D132="BECM 3200",IF(Dashboard!$C$8="Every Week","Yes",IF(Dashboard!$C$8="Odd Weeks",IF(MOD(C132,2)=1,"Yes","No"),IF(MOD(C132,2)=0,"Yes","No"))),"Yes"))))))</x:f>
        <x:v>Yes</x:v>
      </x:c>
      <x:c r="J132" s="601"/>
      <x:c r="K132" s="601" t="str">
        <x:v>None</x:v>
      </x:c>
      <x:c r="L132" s="601"/>
      <x:c r="M132" s="601"/>
      <x:c r="N132" s="601"/>
      <x:c r="O132" s="602"/>
    </x:row>
    <x:row r="133">
      <x:c r="A133" s="580" t="n">
        <x:v>46309</x:v>
      </x:c>
      <x:c r="B133" s="581" t="str">
        <x:v>Wed</x:v>
      </x:c>
      <x:c r="C133" s="581" t="n">
        <x:v>6</x:v>
      </x:c>
      <x:c r="D133" s="581" t="str">
        <x:v>BECM 3205</x:v>
      </x:c>
      <x:c r="E133" s="581" t="str">
        <x:v>Regular</x:v>
      </x:c>
      <x:c r="F133" s="601" t="str">
        <x:v>MSH/AAM</x:v>
      </x:c>
      <x:c r="G133" s="601" t="str">
        <x:v>6th • 12:20 PM–01:10 PM • Room 501</x:v>
      </x:c>
      <x:c r="H133" s="601" t="str">
        <x:v>WED P6</x:v>
      </x:c>
      <x:c r="I133" s="601" t="str">
        <x:f>IF(E133="Extra",IF(AND(A133&lt;&gt;"",D133&lt;&gt;""),"Yes",""),IF(COUNTIF('Routine &amp; Holidays'!$M$8:$M$35,A133)&gt;0,"No",IF(D133="BECM 3204",IF(H133=Dashboard!$C$5,"Yes","No"),IF(D133="BECM 3208",IF(H133=Dashboard!$C$6,"Yes","No"),IF(D133="CE 3224",IF(H133=Dashboard!$C$7,"Yes","No"),IF(D133="BECM 3200",IF(Dashboard!$C$8="Every Week","Yes",IF(Dashboard!$C$8="Odd Weeks",IF(MOD(C133,2)=1,"Yes","No"),IF(MOD(C133,2)=0,"Yes","No"))),"Yes"))))))</x:f>
        <x:v>Yes</x:v>
      </x:c>
      <x:c r="J133" s="601"/>
      <x:c r="K133" s="601" t="str">
        <x:v>None</x:v>
      </x:c>
      <x:c r="L133" s="601"/>
      <x:c r="M133" s="601"/>
      <x:c r="N133" s="601"/>
      <x:c r="O133" s="602"/>
    </x:row>
    <x:row r="134">
      <x:c r="A134" s="580" t="n">
        <x:v>46310</x:v>
      </x:c>
      <x:c r="B134" s="581" t="str">
        <x:v>Thurs</x:v>
      </x:c>
      <x:c r="C134" s="581" t="n">
        <x:v>6</x:v>
      </x:c>
      <x:c r="D134" s="581" t="str">
        <x:v>CE 3224</x:v>
      </x:c>
      <x:c r="E134" s="581" t="str">
        <x:v>Regular</x:v>
      </x:c>
      <x:c r="F134" s="601" t="str">
        <x:v>MHI/MRA</x:v>
      </x:c>
      <x:c r="G134" s="601" t="str">
        <x:v>7-9 • 02:30 PM–05:00 PM • Room 405</x:v>
      </x:c>
      <x:c r="H134" s="601" t="str">
        <x:v>Thu PM</x:v>
      </x:c>
      <x:c r="I134" s="601" t="str">
        <x:f>IF(E134="Extra",IF(AND(A134&lt;&gt;"",D134&lt;&gt;""),"Yes",""),IF(COUNTIF('Routine &amp; Holidays'!$M$8:$M$35,A134)&gt;0,"No",IF(D134="BECM 3204",IF(H134=Dashboard!$C$5,"Yes","No"),IF(D134="BECM 3208",IF(H134=Dashboard!$C$6,"Yes","No"),IF(D134="CE 3224",IF(H134=Dashboard!$C$7,"Yes","No"),IF(D134="BECM 3200",IF(Dashboard!$C$8="Every Week","Yes",IF(Dashboard!$C$8="Odd Weeks",IF(MOD(C134,2)=1,"Yes","No"),IF(MOD(C134,2)=0,"Yes","No"))),"Yes"))))))</x:f>
        <x:v>No</x:v>
      </x:c>
      <x:c r="J134" s="601"/>
      <x:c r="K134" s="601" t="str">
        <x:v>None</x:v>
      </x:c>
      <x:c r="L134" s="601"/>
      <x:c r="M134" s="601"/>
      <x:c r="N134" s="601"/>
      <x:c r="O134" s="602"/>
    </x:row>
    <x:row r="135">
      <x:c r="A135" s="580" t="n">
        <x:v>46310</x:v>
      </x:c>
      <x:c r="B135" s="581" t="str">
        <x:v>Thurs</x:v>
      </x:c>
      <x:c r="C135" s="581" t="n">
        <x:v>6</x:v>
      </x:c>
      <x:c r="D135" s="581" t="str">
        <x:v>BECM 3204</x:v>
      </x:c>
      <x:c r="E135" s="581" t="str">
        <x:v>Regular</x:v>
      </x:c>
      <x:c r="F135" s="601" t="str">
        <x:v>HRS/MR</x:v>
      </x:c>
      <x:c r="G135" s="601" t="str">
        <x:v>1-3 • 08:00 AM–10:30 AM</x:v>
      </x:c>
      <x:c r="H135" s="601" t="str">
        <x:v>Thu AM</x:v>
      </x:c>
      <x:c r="I135" s="601" t="str">
        <x:f>IF(E135="Extra",IF(AND(A135&lt;&gt;"",D135&lt;&gt;""),"Yes",""),IF(COUNTIF('Routine &amp; Holidays'!$M$8:$M$35,A135)&gt;0,"No",IF(D135="BECM 3204",IF(H135=Dashboard!$C$5,"Yes","No"),IF(D135="BECM 3208",IF(H135=Dashboard!$C$6,"Yes","No"),IF(D135="CE 3224",IF(H135=Dashboard!$C$7,"Yes","No"),IF(D135="BECM 3200",IF(Dashboard!$C$8="Every Week","Yes",IF(Dashboard!$C$8="Odd Weeks",IF(MOD(C135,2)=1,"Yes","No"),IF(MOD(C135,2)=0,"Yes","No"))),"Yes"))))))</x:f>
        <x:v>No</x:v>
      </x:c>
      <x:c r="J135" s="601"/>
      <x:c r="K135" s="601" t="str">
        <x:v>None</x:v>
      </x:c>
      <x:c r="L135" s="601"/>
      <x:c r="M135" s="601"/>
      <x:c r="N135" s="601"/>
      <x:c r="O135" s="602"/>
    </x:row>
    <x:row r="136">
      <x:c r="A136" s="580" t="n">
        <x:v>46310</x:v>
      </x:c>
      <x:c r="B136" s="581" t="str">
        <x:v>Thurs</x:v>
      </x:c>
      <x:c r="C136" s="581" t="n">
        <x:v>6</x:v>
      </x:c>
      <x:c r="D136" s="581" t="str">
        <x:v>BECM 3205</x:v>
      </x:c>
      <x:c r="E136" s="581" t="str">
        <x:v>Regular</x:v>
      </x:c>
      <x:c r="F136" s="601" t="str">
        <x:v>MSH</x:v>
      </x:c>
      <x:c r="G136" s="601" t="str">
        <x:v>4th • 10:40 AM–11:30 AM • Room 406</x:v>
      </x:c>
      <x:c r="H136" s="601" t="str">
        <x:v>THURS P4</x:v>
      </x:c>
      <x:c r="I136" s="601" t="str">
        <x:f>IF(E136="Extra",IF(AND(A136&lt;&gt;"",D136&lt;&gt;""),"Yes",""),IF(COUNTIF('Routine &amp; Holidays'!$M$8:$M$35,A136)&gt;0,"No",IF(D136="BECM 3204",IF(H136=Dashboard!$C$5,"Yes","No"),IF(D136="BECM 3208",IF(H136=Dashboard!$C$6,"Yes","No"),IF(D136="CE 3224",IF(H136=Dashboard!$C$7,"Yes","No"),IF(D136="BECM 3200",IF(Dashboard!$C$8="Every Week","Yes",IF(Dashboard!$C$8="Odd Weeks",IF(MOD(C136,2)=1,"Yes","No"),IF(MOD(C136,2)=0,"Yes","No"))),"Yes"))))))</x:f>
        <x:v>Yes</x:v>
      </x:c>
      <x:c r="J136" s="601"/>
      <x:c r="K136" s="601" t="str">
        <x:v>None</x:v>
      </x:c>
      <x:c r="L136" s="601"/>
      <x:c r="M136" s="601"/>
      <x:c r="N136" s="601"/>
      <x:c r="O136" s="602"/>
    </x:row>
    <x:row r="137">
      <x:c r="A137" s="580" t="n">
        <x:v>46310</x:v>
      </x:c>
      <x:c r="B137" s="581" t="str">
        <x:v>Thurs</x:v>
      </x:c>
      <x:c r="C137" s="581" t="n">
        <x:v>6</x:v>
      </x:c>
      <x:c r="D137" s="581" t="str">
        <x:v>CE 3211</x:v>
      </x:c>
      <x:c r="E137" s="581" t="str">
        <x:v>Regular</x:v>
      </x:c>
      <x:c r="F137" s="601" t="str">
        <x:v>MKI/ATB</x:v>
      </x:c>
      <x:c r="G137" s="601" t="str">
        <x:v>5th • 11:30 AM–12:20 PM • Room 406</x:v>
      </x:c>
      <x:c r="H137" s="601" t="str">
        <x:v>THURS P5</x:v>
      </x:c>
      <x:c r="I137" s="601" t="str">
        <x:f>IF(E137="Extra",IF(AND(A137&lt;&gt;"",D137&lt;&gt;""),"Yes",""),IF(COUNTIF('Routine &amp; Holidays'!$M$8:$M$35,A137)&gt;0,"No",IF(D137="BECM 3204",IF(H137=Dashboard!$C$5,"Yes","No"),IF(D137="BECM 3208",IF(H137=Dashboard!$C$6,"Yes","No"),IF(D137="CE 3224",IF(H137=Dashboard!$C$7,"Yes","No"),IF(D137="BECM 3200",IF(Dashboard!$C$8="Every Week","Yes",IF(Dashboard!$C$8="Odd Weeks",IF(MOD(C137,2)=1,"Yes","No"),IF(MOD(C137,2)=0,"Yes","No"))),"Yes"))))))</x:f>
        <x:v>Yes</x:v>
      </x:c>
      <x:c r="J137" s="601"/>
      <x:c r="K137" s="601" t="str">
        <x:v>None</x:v>
      </x:c>
      <x:c r="L137" s="601"/>
      <x:c r="M137" s="601"/>
      <x:c r="N137" s="601"/>
      <x:c r="O137" s="602"/>
    </x:row>
    <x:row r="138">
      <x:c r="A138" s="580" t="n">
        <x:v>46310</x:v>
      </x:c>
      <x:c r="B138" s="581" t="str">
        <x:v>Thurs</x:v>
      </x:c>
      <x:c r="C138" s="581" t="n">
        <x:v>6</x:v>
      </x:c>
      <x:c r="D138" s="581" t="str">
        <x:v>BECM 3201</x:v>
      </x:c>
      <x:c r="E138" s="581" t="str">
        <x:v>Regular</x:v>
      </x:c>
      <x:c r="F138" s="601" t="str">
        <x:v>MR/MRA</x:v>
      </x:c>
      <x:c r="G138" s="601" t="str">
        <x:v>6th • 12:20 PM–01:10 PM • Room 406</x:v>
      </x:c>
      <x:c r="H138" s="601" t="str">
        <x:v>THURS P6</x:v>
      </x:c>
      <x:c r="I138" s="601" t="str">
        <x:f>IF(E138="Extra",IF(AND(A138&lt;&gt;"",D138&lt;&gt;""),"Yes",""),IF(COUNTIF('Routine &amp; Holidays'!$M$8:$M$35,A138)&gt;0,"No",IF(D138="BECM 3204",IF(H138=Dashboard!$C$5,"Yes","No"),IF(D138="BECM 3208",IF(H138=Dashboard!$C$6,"Yes","No"),IF(D138="CE 3224",IF(H138=Dashboard!$C$7,"Yes","No"),IF(D138="BECM 3200",IF(Dashboard!$C$8="Every Week","Yes",IF(Dashboard!$C$8="Odd Weeks",IF(MOD(C138,2)=1,"Yes","No"),IF(MOD(C138,2)=0,"Yes","No"))),"Yes"))))))</x:f>
        <x:v>Yes</x:v>
      </x:c>
      <x:c r="J138" s="601"/>
      <x:c r="K138" s="601" t="str">
        <x:v>None</x:v>
      </x:c>
      <x:c r="L138" s="601"/>
      <x:c r="M138" s="601"/>
      <x:c r="N138" s="601"/>
      <x:c r="O138" s="602"/>
    </x:row>
    <x:row r="139">
      <x:c r="A139" s="580" t="n">
        <x:v>46320</x:v>
      </x:c>
      <x:c r="B139" s="581" t="str">
        <x:v>Sun</x:v>
      </x:c>
      <x:c r="C139" s="581" t="n">
        <x:v>7</x:v>
      </x:c>
      <x:c r="D139" s="581" t="str">
        <x:v>BECM 3204</x:v>
      </x:c>
      <x:c r="E139" s="581" t="str">
        <x:v>Regular</x:v>
      </x:c>
      <x:c r="F139" s="601" t="str">
        <x:v>HRS/MR</x:v>
      </x:c>
      <x:c r="G139" s="601" t="str">
        <x:v>7-9 • 02:30 PM–05:00 PM • Room 404</x:v>
      </x:c>
      <x:c r="H139" s="601" t="str">
        <x:v>Sun PM</x:v>
      </x:c>
      <x:c r="I139" s="601" t="str">
        <x:f>IF(E139="Extra",IF(AND(A139&lt;&gt;"",D139&lt;&gt;""),"Yes",""),IF(COUNTIF('Routine &amp; Holidays'!$M$8:$M$35,A139)&gt;0,"No",IF(D139="BECM 3204",IF(H139=Dashboard!$C$5,"Yes","No"),IF(D139="BECM 3208",IF(H139=Dashboard!$C$6,"Yes","No"),IF(D139="CE 3224",IF(H139=Dashboard!$C$7,"Yes","No"),IF(D139="BECM 3200",IF(Dashboard!$C$8="Every Week","Yes",IF(Dashboard!$C$8="Odd Weeks",IF(MOD(C139,2)=1,"Yes","No"),IF(MOD(C139,2)=0,"Yes","No"))),"Yes"))))))</x:f>
        <x:v>Yes</x:v>
      </x:c>
      <x:c r="J139" s="601"/>
      <x:c r="K139" s="601" t="str">
        <x:v>None</x:v>
      </x:c>
      <x:c r="L139" s="601"/>
      <x:c r="M139" s="601"/>
      <x:c r="N139" s="601"/>
      <x:c r="O139" s="602"/>
    </x:row>
    <x:row r="140">
      <x:c r="A140" s="580" t="n">
        <x:v>46320</x:v>
      </x:c>
      <x:c r="B140" s="581" t="str">
        <x:v>Sun</x:v>
      </x:c>
      <x:c r="C140" s="581" t="n">
        <x:v>7</x:v>
      </x:c>
      <x:c r="D140" s="581" t="str">
        <x:v>CE 3213</x:v>
      </x:c>
      <x:c r="E140" s="581" t="str">
        <x:v>Regular</x:v>
      </x:c>
      <x:c r="F140" s="601" t="str">
        <x:v>HRS</x:v>
      </x:c>
      <x:c r="G140" s="601" t="str">
        <x:v>4th • 10:40 AM–11:30 AM • Room 501</x:v>
      </x:c>
      <x:c r="H140" s="601" t="str">
        <x:v>SUN P4</x:v>
      </x:c>
      <x:c r="I140" s="601" t="str">
        <x:f>IF(E140="Extra",IF(AND(A140&lt;&gt;"",D140&lt;&gt;""),"Yes",""),IF(COUNTIF('Routine &amp; Holidays'!$M$8:$M$35,A140)&gt;0,"No",IF(D140="BECM 3204",IF(H140=Dashboard!$C$5,"Yes","No"),IF(D140="BECM 3208",IF(H140=Dashboard!$C$6,"Yes","No"),IF(D140="CE 3224",IF(H140=Dashboard!$C$7,"Yes","No"),IF(D140="BECM 3200",IF(Dashboard!$C$8="Every Week","Yes",IF(Dashboard!$C$8="Odd Weeks",IF(MOD(C140,2)=1,"Yes","No"),IF(MOD(C140,2)=0,"Yes","No"))),"Yes"))))))</x:f>
        <x:v>Yes</x:v>
      </x:c>
      <x:c r="J140" s="601"/>
      <x:c r="K140" s="601" t="str">
        <x:v>None</x:v>
      </x:c>
      <x:c r="L140" s="601"/>
      <x:c r="M140" s="601"/>
      <x:c r="N140" s="601"/>
      <x:c r="O140" s="602"/>
    </x:row>
    <x:row r="141">
      <x:c r="A141" s="580" t="n">
        <x:v>46320</x:v>
      </x:c>
      <x:c r="B141" s="581" t="str">
        <x:v>Sun</x:v>
      </x:c>
      <x:c r="C141" s="581" t="n">
        <x:v>7</x:v>
      </x:c>
      <x:c r="D141" s="581" t="str">
        <x:v>CE 3223</x:v>
      </x:c>
      <x:c r="E141" s="581" t="str">
        <x:v>Regular</x:v>
      </x:c>
      <x:c r="F141" s="601" t="str">
        <x:v>MSA</x:v>
      </x:c>
      <x:c r="G141" s="601" t="str">
        <x:v>5th • 11:30 AM–12:20 PM • Room 501</x:v>
      </x:c>
      <x:c r="H141" s="601" t="str">
        <x:v>SUN P5</x:v>
      </x:c>
      <x:c r="I141" s="601" t="str">
        <x:f>IF(E141="Extra",IF(AND(A141&lt;&gt;"",D141&lt;&gt;""),"Yes",""),IF(COUNTIF('Routine &amp; Holidays'!$M$8:$M$35,A141)&gt;0,"No",IF(D141="BECM 3204",IF(H141=Dashboard!$C$5,"Yes","No"),IF(D141="BECM 3208",IF(H141=Dashboard!$C$6,"Yes","No"),IF(D141="CE 3224",IF(H141=Dashboard!$C$7,"Yes","No"),IF(D141="BECM 3200",IF(Dashboard!$C$8="Every Week","Yes",IF(Dashboard!$C$8="Odd Weeks",IF(MOD(C141,2)=1,"Yes","No"),IF(MOD(C141,2)=0,"Yes","No"))),"Yes"))))))</x:f>
        <x:v>Yes</x:v>
      </x:c>
      <x:c r="J141" s="601"/>
      <x:c r="K141" s="601" t="str">
        <x:v>None</x:v>
      </x:c>
      <x:c r="L141" s="601"/>
      <x:c r="M141" s="601"/>
      <x:c r="N141" s="601"/>
      <x:c r="O141" s="602"/>
    </x:row>
    <x:row r="142">
      <x:c r="A142" s="580" t="n">
        <x:v>46320</x:v>
      </x:c>
      <x:c r="B142" s="581" t="str">
        <x:v>Sun</x:v>
      </x:c>
      <x:c r="C142" s="581" t="n">
        <x:v>7</x:v>
      </x:c>
      <x:c r="D142" s="581" t="str">
        <x:v>CE 3211</x:v>
      </x:c>
      <x:c r="E142" s="581" t="str">
        <x:v>Regular</x:v>
      </x:c>
      <x:c r="F142" s="601" t="str">
        <x:v>MKI</x:v>
      </x:c>
      <x:c r="G142" s="601" t="str">
        <x:v>6th • 12:20 PM–01:10 PM • Room 501</x:v>
      </x:c>
      <x:c r="H142" s="601" t="str">
        <x:v>SUN P6</x:v>
      </x:c>
      <x:c r="I142" s="601" t="str">
        <x:f>IF(E142="Extra",IF(AND(A142&lt;&gt;"",D142&lt;&gt;""),"Yes",""),IF(COUNTIF('Routine &amp; Holidays'!$M$8:$M$35,A142)&gt;0,"No",IF(D142="BECM 3204",IF(H142=Dashboard!$C$5,"Yes","No"),IF(D142="BECM 3208",IF(H142=Dashboard!$C$6,"Yes","No"),IF(D142="CE 3224",IF(H142=Dashboard!$C$7,"Yes","No"),IF(D142="BECM 3200",IF(Dashboard!$C$8="Every Week","Yes",IF(Dashboard!$C$8="Odd Weeks",IF(MOD(C142,2)=1,"Yes","No"),IF(MOD(C142,2)=0,"Yes","No"))),"Yes"))))))</x:f>
        <x:v>Yes</x:v>
      </x:c>
      <x:c r="J142" s="601"/>
      <x:c r="K142" s="601" t="str">
        <x:v>None</x:v>
      </x:c>
      <x:c r="L142" s="601"/>
      <x:c r="M142" s="601"/>
      <x:c r="N142" s="601"/>
      <x:c r="O142" s="602"/>
    </x:row>
    <x:row r="143">
      <x:c r="A143" s="580" t="n">
        <x:v>46321</x:v>
      </x:c>
      <x:c r="B143" s="581" t="str">
        <x:v>Mon</x:v>
      </x:c>
      <x:c r="C143" s="581" t="n">
        <x:v>7</x:v>
      </x:c>
      <x:c r="D143" s="581" t="str">
        <x:v>BECM 3200</x:v>
      </x:c>
      <x:c r="E143" s="581" t="str">
        <x:v>Regular</x:v>
      </x:c>
      <x:c r="F143" s="601" t="str">
        <x:v>ALL</x:v>
      </x:c>
      <x:c r="G143" s="601" t="str">
        <x:v>7-9 • 02:30 PM–05:00 PM</x:v>
      </x:c>
      <x:c r="H143" s="601" t="str">
        <x:v>Mon PM</x:v>
      </x:c>
      <x:c r="I143" s="601" t="str">
        <x:f>IF(E143="Extra",IF(AND(A143&lt;&gt;"",D143&lt;&gt;""),"Yes",""),IF(COUNTIF('Routine &amp; Holidays'!$M$8:$M$35,A143)&gt;0,"No",IF(D143="BECM 3204",IF(H143=Dashboard!$C$5,"Yes","No"),IF(D143="BECM 3208",IF(H143=Dashboard!$C$6,"Yes","No"),IF(D143="CE 3224",IF(H143=Dashboard!$C$7,"Yes","No"),IF(D143="BECM 3200",IF(Dashboard!$C$8="Every Week","Yes",IF(Dashboard!$C$8="Odd Weeks",IF(MOD(C143,2)=1,"Yes","No"),IF(MOD(C143,2)=0,"Yes","No"))),"Yes"))))))</x:f>
        <x:v>Yes</x:v>
      </x:c>
      <x:c r="J143" s="601"/>
      <x:c r="K143" s="601" t="str">
        <x:v>None</x:v>
      </x:c>
      <x:c r="L143" s="601"/>
      <x:c r="M143" s="601"/>
      <x:c r="N143" s="601"/>
      <x:c r="O143" s="602"/>
    </x:row>
    <x:row r="144">
      <x:c r="A144" s="580" t="n">
        <x:v>46321</x:v>
      </x:c>
      <x:c r="B144" s="581" t="str">
        <x:v>Mon</x:v>
      </x:c>
      <x:c r="C144" s="581" t="n">
        <x:v>7</x:v>
      </x:c>
      <x:c r="D144" s="581" t="str">
        <x:v>CE 3223</x:v>
      </x:c>
      <x:c r="E144" s="581" t="str">
        <x:v>Regular</x:v>
      </x:c>
      <x:c r="F144" s="601" t="str">
        <x:v>MHI/MSA</x:v>
      </x:c>
      <x:c r="G144" s="601" t="str">
        <x:v>3rd • 09:40 AM–10:30 AM • Room 404</x:v>
      </x:c>
      <x:c r="H144" s="601" t="str">
        <x:v>MON P3</x:v>
      </x:c>
      <x:c r="I144" s="601" t="str">
        <x:f>IF(E144="Extra",IF(AND(A144&lt;&gt;"",D144&lt;&gt;""),"Yes",""),IF(COUNTIF('Routine &amp; Holidays'!$M$8:$M$35,A144)&gt;0,"No",IF(D144="BECM 3204",IF(H144=Dashboard!$C$5,"Yes","No"),IF(D144="BECM 3208",IF(H144=Dashboard!$C$6,"Yes","No"),IF(D144="CE 3224",IF(H144=Dashboard!$C$7,"Yes","No"),IF(D144="BECM 3200",IF(Dashboard!$C$8="Every Week","Yes",IF(Dashboard!$C$8="Odd Weeks",IF(MOD(C144,2)=1,"Yes","No"),IF(MOD(C144,2)=0,"Yes","No"))),"Yes"))))))</x:f>
        <x:v>Yes</x:v>
      </x:c>
      <x:c r="J144" s="601"/>
      <x:c r="K144" s="601" t="str">
        <x:v>None</x:v>
      </x:c>
      <x:c r="L144" s="601"/>
      <x:c r="M144" s="601"/>
      <x:c r="N144" s="601"/>
      <x:c r="O144" s="602"/>
    </x:row>
    <x:row r="145">
      <x:c r="A145" s="580" t="n">
        <x:v>46321</x:v>
      </x:c>
      <x:c r="B145" s="581" t="str">
        <x:v>Mon</x:v>
      </x:c>
      <x:c r="C145" s="581" t="n">
        <x:v>7</x:v>
      </x:c>
      <x:c r="D145" s="581" t="str">
        <x:v>BECM 3201</x:v>
      </x:c>
      <x:c r="E145" s="581" t="str">
        <x:v>Regular</x:v>
      </x:c>
      <x:c r="F145" s="601" t="str">
        <x:v>MR</x:v>
      </x:c>
      <x:c r="G145" s="601" t="str">
        <x:v>5th • 11:30 AM–12:20 PM • Room 405</x:v>
      </x:c>
      <x:c r="H145" s="601" t="str">
        <x:v>MON P5</x:v>
      </x:c>
      <x:c r="I145" s="601" t="str">
        <x:f>IF(E145="Extra",IF(AND(A145&lt;&gt;"",D145&lt;&gt;""),"Yes",""),IF(COUNTIF('Routine &amp; Holidays'!$M$8:$M$35,A145)&gt;0,"No",IF(D145="BECM 3204",IF(H145=Dashboard!$C$5,"Yes","No"),IF(D145="BECM 3208",IF(H145=Dashboard!$C$6,"Yes","No"),IF(D145="CE 3224",IF(H145=Dashboard!$C$7,"Yes","No"),IF(D145="BECM 3200",IF(Dashboard!$C$8="Every Week","Yes",IF(Dashboard!$C$8="Odd Weeks",IF(MOD(C145,2)=1,"Yes","No"),IF(MOD(C145,2)=0,"Yes","No"))),"Yes"))))))</x:f>
        <x:v>Yes</x:v>
      </x:c>
      <x:c r="J145" s="601"/>
      <x:c r="K145" s="601" t="str">
        <x:v>None</x:v>
      </x:c>
      <x:c r="L145" s="601"/>
      <x:c r="M145" s="601"/>
      <x:c r="N145" s="601"/>
      <x:c r="O145" s="602"/>
    </x:row>
    <x:row r="146">
      <x:c r="A146" s="580" t="n">
        <x:v>46321</x:v>
      </x:c>
      <x:c r="B146" s="581" t="str">
        <x:v>Mon</x:v>
      </x:c>
      <x:c r="C146" s="581" t="n">
        <x:v>7</x:v>
      </x:c>
      <x:c r="D146" s="581" t="str">
        <x:v>BECM 3205</x:v>
      </x:c>
      <x:c r="E146" s="581" t="str">
        <x:v>Regular</x:v>
      </x:c>
      <x:c r="F146" s="601" t="str">
        <x:v>AAM</x:v>
      </x:c>
      <x:c r="G146" s="601" t="str">
        <x:v>6th • 12:20 PM–01:10 PM • Room 405</x:v>
      </x:c>
      <x:c r="H146" s="601" t="str">
        <x:v>MON P6</x:v>
      </x:c>
      <x:c r="I146" s="601" t="str">
        <x:f>IF(E146="Extra",IF(AND(A146&lt;&gt;"",D146&lt;&gt;""),"Yes",""),IF(COUNTIF('Routine &amp; Holidays'!$M$8:$M$35,A146)&gt;0,"No",IF(D146="BECM 3204",IF(H146=Dashboard!$C$5,"Yes","No"),IF(D146="BECM 3208",IF(H146=Dashboard!$C$6,"Yes","No"),IF(D146="CE 3224",IF(H146=Dashboard!$C$7,"Yes","No"),IF(D146="BECM 3200",IF(Dashboard!$C$8="Every Week","Yes",IF(Dashboard!$C$8="Odd Weeks",IF(MOD(C146,2)=1,"Yes","No"),IF(MOD(C146,2)=0,"Yes","No"))),"Yes"))))))</x:f>
        <x:v>Yes</x:v>
      </x:c>
      <x:c r="J146" s="601"/>
      <x:c r="K146" s="601" t="str">
        <x:v>None</x:v>
      </x:c>
      <x:c r="L146" s="601"/>
      <x:c r="M146" s="601"/>
      <x:c r="N146" s="601"/>
      <x:c r="O146" s="602"/>
    </x:row>
    <x:row r="147">
      <x:c r="A147" s="580" t="n">
        <x:v>46322</x:v>
      </x:c>
      <x:c r="B147" s="581" t="str">
        <x:v>Tues</x:v>
      </x:c>
      <x:c r="C147" s="581" t="n">
        <x:v>7</x:v>
      </x:c>
      <x:c r="D147" s="581" t="str">
        <x:v>BECM 3208</x:v>
      </x:c>
      <x:c r="E147" s="581" t="str">
        <x:v>Regular</x:v>
      </x:c>
      <x:c r="F147" s="601" t="str">
        <x:v>MSH/MSA</x:v>
      </x:c>
      <x:c r="G147" s="601" t="str">
        <x:v>7-9 • 02:30 PM–05:00 PM</x:v>
      </x:c>
      <x:c r="H147" s="601" t="str">
        <x:v>Tue PM</x:v>
      </x:c>
      <x:c r="I147" s="601" t="str">
        <x:f>IF(E147="Extra",IF(AND(A147&lt;&gt;"",D147&lt;&gt;""),"Yes",""),IF(COUNTIF('Routine &amp; Holidays'!$M$8:$M$35,A147)&gt;0,"No",IF(D147="BECM 3204",IF(H147=Dashboard!$C$5,"Yes","No"),IF(D147="BECM 3208",IF(H147=Dashboard!$C$6,"Yes","No"),IF(D147="CE 3224",IF(H147=Dashboard!$C$7,"Yes","No"),IF(D147="BECM 3200",IF(Dashboard!$C$8="Every Week","Yes",IF(Dashboard!$C$8="Odd Weeks",IF(MOD(C147,2)=1,"Yes","No"),IF(MOD(C147,2)=0,"Yes","No"))),"Yes"))))))</x:f>
        <x:v>Yes</x:v>
      </x:c>
      <x:c r="J147" s="601"/>
      <x:c r="K147" s="601" t="str">
        <x:v>None</x:v>
      </x:c>
      <x:c r="L147" s="601"/>
      <x:c r="M147" s="601"/>
      <x:c r="N147" s="601"/>
      <x:c r="O147" s="602"/>
    </x:row>
    <x:row r="148">
      <x:c r="A148" s="580" t="n">
        <x:v>46322</x:v>
      </x:c>
      <x:c r="B148" s="581" t="str">
        <x:v>Tues</x:v>
      </x:c>
      <x:c r="C148" s="581" t="n">
        <x:v>7</x:v>
      </x:c>
      <x:c r="D148" s="581" t="str">
        <x:v>CE 3224</x:v>
      </x:c>
      <x:c r="E148" s="581" t="str">
        <x:v>Regular</x:v>
      </x:c>
      <x:c r="F148" s="601" t="str">
        <x:v>MHI/MRA</x:v>
      </x:c>
      <x:c r="G148" s="601" t="str">
        <x:v>1-3 • 08:00 AM–10:30 AM</x:v>
      </x:c>
      <x:c r="H148" s="601" t="str">
        <x:v>Tue AM</x:v>
      </x:c>
      <x:c r="I148" s="601" t="str">
        <x:f>IF(E148="Extra",IF(AND(A148&lt;&gt;"",D148&lt;&gt;""),"Yes",""),IF(COUNTIF('Routine &amp; Holidays'!$M$8:$M$35,A148)&gt;0,"No",IF(D148="BECM 3204",IF(H148=Dashboard!$C$5,"Yes","No"),IF(D148="BECM 3208",IF(H148=Dashboard!$C$6,"Yes","No"),IF(D148="CE 3224",IF(H148=Dashboard!$C$7,"Yes","No"),IF(D148="BECM 3200",IF(Dashboard!$C$8="Every Week","Yes",IF(Dashboard!$C$8="Odd Weeks",IF(MOD(C148,2)=1,"Yes","No"),IF(MOD(C148,2)=0,"Yes","No"))),"Yes"))))))</x:f>
        <x:v>Yes</x:v>
      </x:c>
      <x:c r="J148" s="601"/>
      <x:c r="K148" s="601" t="str">
        <x:v>None</x:v>
      </x:c>
      <x:c r="L148" s="601"/>
      <x:c r="M148" s="601"/>
      <x:c r="N148" s="601"/>
      <x:c r="O148" s="602"/>
    </x:row>
    <x:row r="149">
      <x:c r="A149" s="580" t="n">
        <x:v>46322</x:v>
      </x:c>
      <x:c r="B149" s="581" t="str">
        <x:v>Tues</x:v>
      </x:c>
      <x:c r="C149" s="581" t="n">
        <x:v>7</x:v>
      </x:c>
      <x:c r="D149" s="581" t="str">
        <x:v>CE 3213</x:v>
      </x:c>
      <x:c r="E149" s="581" t="str">
        <x:v>Regular</x:v>
      </x:c>
      <x:c r="F149" s="601" t="str">
        <x:v>MKI</x:v>
      </x:c>
      <x:c r="G149" s="601" t="str">
        <x:v>5th • 11:30 AM–12:20 PM • Room 405</x:v>
      </x:c>
      <x:c r="H149" s="601" t="str">
        <x:v>TUES P5</x:v>
      </x:c>
      <x:c r="I149" s="601" t="str">
        <x:f>IF(E149="Extra",IF(AND(A149&lt;&gt;"",D149&lt;&gt;""),"Yes",""),IF(COUNTIF('Routine &amp; Holidays'!$M$8:$M$35,A149)&gt;0,"No",IF(D149="BECM 3204",IF(H149=Dashboard!$C$5,"Yes","No"),IF(D149="BECM 3208",IF(H149=Dashboard!$C$6,"Yes","No"),IF(D149="CE 3224",IF(H149=Dashboard!$C$7,"Yes","No"),IF(D149="BECM 3200",IF(Dashboard!$C$8="Every Week","Yes",IF(Dashboard!$C$8="Odd Weeks",IF(MOD(C149,2)=1,"Yes","No"),IF(MOD(C149,2)=0,"Yes","No"))),"Yes"))))))</x:f>
        <x:v>Yes</x:v>
      </x:c>
      <x:c r="J149" s="601"/>
      <x:c r="K149" s="601" t="str">
        <x:v>None</x:v>
      </x:c>
      <x:c r="L149" s="601"/>
      <x:c r="M149" s="601"/>
      <x:c r="N149" s="601"/>
      <x:c r="O149" s="602"/>
    </x:row>
    <x:row r="150">
      <x:c r="A150" s="580" t="n">
        <x:v>46322</x:v>
      </x:c>
      <x:c r="B150" s="581" t="str">
        <x:v>Tues</x:v>
      </x:c>
      <x:c r="C150" s="581" t="n">
        <x:v>7</x:v>
      </x:c>
      <x:c r="D150" s="581" t="str">
        <x:v>BECM 3201</x:v>
      </x:c>
      <x:c r="E150" s="581" t="str">
        <x:v>Regular</x:v>
      </x:c>
      <x:c r="F150" s="601" t="str">
        <x:v>MRA</x:v>
      </x:c>
      <x:c r="G150" s="601" t="str">
        <x:v>6th • 12:20 PM–01:10 PM • Room 405</x:v>
      </x:c>
      <x:c r="H150" s="601" t="str">
        <x:v>TUES P6</x:v>
      </x:c>
      <x:c r="I150" s="601" t="str">
        <x:f>IF(E150="Extra",IF(AND(A150&lt;&gt;"",D150&lt;&gt;""),"Yes",""),IF(COUNTIF('Routine &amp; Holidays'!$M$8:$M$35,A150)&gt;0,"No",IF(D150="BECM 3204",IF(H150=Dashboard!$C$5,"Yes","No"),IF(D150="BECM 3208",IF(H150=Dashboard!$C$6,"Yes","No"),IF(D150="CE 3224",IF(H150=Dashboard!$C$7,"Yes","No"),IF(D150="BECM 3200",IF(Dashboard!$C$8="Every Week","Yes",IF(Dashboard!$C$8="Odd Weeks",IF(MOD(C150,2)=1,"Yes","No"),IF(MOD(C150,2)=0,"Yes","No"))),"Yes"))))))</x:f>
        <x:v>Yes</x:v>
      </x:c>
      <x:c r="J150" s="601"/>
      <x:c r="K150" s="601" t="str">
        <x:v>None</x:v>
      </x:c>
      <x:c r="L150" s="601"/>
      <x:c r="M150" s="601"/>
      <x:c r="N150" s="601"/>
      <x:c r="O150" s="602"/>
    </x:row>
    <x:row r="151">
      <x:c r="A151" s="580" t="n">
        <x:v>46323</x:v>
      </x:c>
      <x:c r="B151" s="581" t="str">
        <x:v>Wed</x:v>
      </x:c>
      <x:c r="C151" s="581" t="n">
        <x:v>7</x:v>
      </x:c>
      <x:c r="D151" s="581" t="str">
        <x:v>BECM 3208</x:v>
      </x:c>
      <x:c r="E151" s="581" t="str">
        <x:v>Regular</x:v>
      </x:c>
      <x:c r="F151" s="601" t="str">
        <x:v>MSH/MSA</x:v>
      </x:c>
      <x:c r="G151" s="601" t="str">
        <x:v>7-9 • 02:30 PM–05:00 PM • Room 501</x:v>
      </x:c>
      <x:c r="H151" s="601" t="str">
        <x:v>Wed PM</x:v>
      </x:c>
      <x:c r="I151" s="601" t="str">
        <x:f>IF(E151="Extra",IF(AND(A151&lt;&gt;"",D151&lt;&gt;""),"Yes",""),IF(COUNTIF('Routine &amp; Holidays'!$M$8:$M$35,A151)&gt;0,"No",IF(D151="BECM 3204",IF(H151=Dashboard!$C$5,"Yes","No"),IF(D151="BECM 3208",IF(H151=Dashboard!$C$6,"Yes","No"),IF(D151="CE 3224",IF(H151=Dashboard!$C$7,"Yes","No"),IF(D151="BECM 3200",IF(Dashboard!$C$8="Every Week","Yes",IF(Dashboard!$C$8="Odd Weeks",IF(MOD(C151,2)=1,"Yes","No"),IF(MOD(C151,2)=0,"Yes","No"))),"Yes"))))))</x:f>
        <x:v>No</x:v>
      </x:c>
      <x:c r="J151" s="601"/>
      <x:c r="K151" s="601" t="str">
        <x:v>None</x:v>
      </x:c>
      <x:c r="L151" s="601"/>
      <x:c r="M151" s="601"/>
      <x:c r="N151" s="601"/>
      <x:c r="O151" s="602"/>
    </x:row>
    <x:row r="152">
      <x:c r="A152" s="580" t="n">
        <x:v>46323</x:v>
      </x:c>
      <x:c r="B152" s="581" t="str">
        <x:v>Wed</x:v>
      </x:c>
      <x:c r="C152" s="581" t="n">
        <x:v>7</x:v>
      </x:c>
      <x:c r="D152" s="581" t="str">
        <x:v>CE 3213</x:v>
      </x:c>
      <x:c r="E152" s="581" t="str">
        <x:v>Regular</x:v>
      </x:c>
      <x:c r="F152" s="601" t="str">
        <x:v>HRS/MKI</x:v>
      </x:c>
      <x:c r="G152" s="601" t="str">
        <x:v>3rd • 09:40 AM–10:30 AM • Room 501</x:v>
      </x:c>
      <x:c r="H152" s="601" t="str">
        <x:v>WED P3</x:v>
      </x:c>
      <x:c r="I152" s="601" t="str">
        <x:f>IF(E152="Extra",IF(AND(A152&lt;&gt;"",D152&lt;&gt;""),"Yes",""),IF(COUNTIF('Routine &amp; Holidays'!$M$8:$M$35,A152)&gt;0,"No",IF(D152="BECM 3204",IF(H152=Dashboard!$C$5,"Yes","No"),IF(D152="BECM 3208",IF(H152=Dashboard!$C$6,"Yes","No"),IF(D152="CE 3224",IF(H152=Dashboard!$C$7,"Yes","No"),IF(D152="BECM 3200",IF(Dashboard!$C$8="Every Week","Yes",IF(Dashboard!$C$8="Odd Weeks",IF(MOD(C152,2)=1,"Yes","No"),IF(MOD(C152,2)=0,"Yes","No"))),"Yes"))))))</x:f>
        <x:v>Yes</x:v>
      </x:c>
      <x:c r="J152" s="601"/>
      <x:c r="K152" s="601" t="str">
        <x:v>None</x:v>
      </x:c>
      <x:c r="L152" s="601"/>
      <x:c r="M152" s="601"/>
      <x:c r="N152" s="601"/>
      <x:c r="O152" s="602"/>
    </x:row>
    <x:row r="153">
      <x:c r="A153" s="580" t="n">
        <x:v>46323</x:v>
      </x:c>
      <x:c r="B153" s="581" t="str">
        <x:v>Wed</x:v>
      </x:c>
      <x:c r="C153" s="581" t="n">
        <x:v>7</x:v>
      </x:c>
      <x:c r="D153" s="581" t="str">
        <x:v>CE 3211</x:v>
      </x:c>
      <x:c r="E153" s="581" t="str">
        <x:v>Regular</x:v>
      </x:c>
      <x:c r="F153" s="601" t="str">
        <x:v>ATB</x:v>
      </x:c>
      <x:c r="G153" s="601" t="str">
        <x:v>4th • 10:40 AM–11:30 AM • Room 501</x:v>
      </x:c>
      <x:c r="H153" s="601" t="str">
        <x:v>WED P4</x:v>
      </x:c>
      <x:c r="I153" s="601" t="str">
        <x:f>IF(E153="Extra",IF(AND(A153&lt;&gt;"",D153&lt;&gt;""),"Yes",""),IF(COUNTIF('Routine &amp; Holidays'!$M$8:$M$35,A153)&gt;0,"No",IF(D153="BECM 3204",IF(H153=Dashboard!$C$5,"Yes","No"),IF(D153="BECM 3208",IF(H153=Dashboard!$C$6,"Yes","No"),IF(D153="CE 3224",IF(H153=Dashboard!$C$7,"Yes","No"),IF(D153="BECM 3200",IF(Dashboard!$C$8="Every Week","Yes",IF(Dashboard!$C$8="Odd Weeks",IF(MOD(C153,2)=1,"Yes","No"),IF(MOD(C153,2)=0,"Yes","No"))),"Yes"))))))</x:f>
        <x:v>Yes</x:v>
      </x:c>
      <x:c r="J153" s="601"/>
      <x:c r="K153" s="601" t="str">
        <x:v>None</x:v>
      </x:c>
      <x:c r="L153" s="601"/>
      <x:c r="M153" s="601"/>
      <x:c r="N153" s="601"/>
      <x:c r="O153" s="602"/>
    </x:row>
    <x:row r="154">
      <x:c r="A154" s="580" t="n">
        <x:v>46323</x:v>
      </x:c>
      <x:c r="B154" s="581" t="str">
        <x:v>Wed</x:v>
      </x:c>
      <x:c r="C154" s="581" t="n">
        <x:v>7</x:v>
      </x:c>
      <x:c r="D154" s="581" t="str">
        <x:v>CE 3223</x:v>
      </x:c>
      <x:c r="E154" s="581" t="str">
        <x:v>Regular</x:v>
      </x:c>
      <x:c r="F154" s="601" t="str">
        <x:v>MHI</x:v>
      </x:c>
      <x:c r="G154" s="601" t="str">
        <x:v>5th • 11:30 AM–12:20 PM • Room 501</x:v>
      </x:c>
      <x:c r="H154" s="601" t="str">
        <x:v>WED P5</x:v>
      </x:c>
      <x:c r="I154" s="601" t="str">
        <x:f>IF(E154="Extra",IF(AND(A154&lt;&gt;"",D154&lt;&gt;""),"Yes",""),IF(COUNTIF('Routine &amp; Holidays'!$M$8:$M$35,A154)&gt;0,"No",IF(D154="BECM 3204",IF(H154=Dashboard!$C$5,"Yes","No"),IF(D154="BECM 3208",IF(H154=Dashboard!$C$6,"Yes","No"),IF(D154="CE 3224",IF(H154=Dashboard!$C$7,"Yes","No"),IF(D154="BECM 3200",IF(Dashboard!$C$8="Every Week","Yes",IF(Dashboard!$C$8="Odd Weeks",IF(MOD(C154,2)=1,"Yes","No"),IF(MOD(C154,2)=0,"Yes","No"))),"Yes"))))))</x:f>
        <x:v>Yes</x:v>
      </x:c>
      <x:c r="J154" s="601"/>
      <x:c r="K154" s="601" t="str">
        <x:v>None</x:v>
      </x:c>
      <x:c r="L154" s="601"/>
      <x:c r="M154" s="601"/>
      <x:c r="N154" s="601"/>
      <x:c r="O154" s="602"/>
    </x:row>
    <x:row r="155">
      <x:c r="A155" s="580" t="n">
        <x:v>46323</x:v>
      </x:c>
      <x:c r="B155" s="581" t="str">
        <x:v>Wed</x:v>
      </x:c>
      <x:c r="C155" s="581" t="n">
        <x:v>7</x:v>
      </x:c>
      <x:c r="D155" s="581" t="str">
        <x:v>BECM 3205</x:v>
      </x:c>
      <x:c r="E155" s="581" t="str">
        <x:v>Regular</x:v>
      </x:c>
      <x:c r="F155" s="601" t="str">
        <x:v>MSH/AAM</x:v>
      </x:c>
      <x:c r="G155" s="601" t="str">
        <x:v>6th • 12:20 PM–01:10 PM • Room 501</x:v>
      </x:c>
      <x:c r="H155" s="601" t="str">
        <x:v>WED P6</x:v>
      </x:c>
      <x:c r="I155" s="601" t="str">
        <x:f>IF(E155="Extra",IF(AND(A155&lt;&gt;"",D155&lt;&gt;""),"Yes",""),IF(COUNTIF('Routine &amp; Holidays'!$M$8:$M$35,A155)&gt;0,"No",IF(D155="BECM 3204",IF(H155=Dashboard!$C$5,"Yes","No"),IF(D155="BECM 3208",IF(H155=Dashboard!$C$6,"Yes","No"),IF(D155="CE 3224",IF(H155=Dashboard!$C$7,"Yes","No"),IF(D155="BECM 3200",IF(Dashboard!$C$8="Every Week","Yes",IF(Dashboard!$C$8="Odd Weeks",IF(MOD(C155,2)=1,"Yes","No"),IF(MOD(C155,2)=0,"Yes","No"))),"Yes"))))))</x:f>
        <x:v>Yes</x:v>
      </x:c>
      <x:c r="J155" s="601"/>
      <x:c r="K155" s="601" t="str">
        <x:v>None</x:v>
      </x:c>
      <x:c r="L155" s="601"/>
      <x:c r="M155" s="601"/>
      <x:c r="N155" s="601"/>
      <x:c r="O155" s="602"/>
    </x:row>
    <x:row r="156">
      <x:c r="A156" s="580" t="n">
        <x:v>46324</x:v>
      </x:c>
      <x:c r="B156" s="581" t="str">
        <x:v>Thurs</x:v>
      </x:c>
      <x:c r="C156" s="581" t="n">
        <x:v>7</x:v>
      </x:c>
      <x:c r="D156" s="581" t="str">
        <x:v>CE 3224</x:v>
      </x:c>
      <x:c r="E156" s="581" t="str">
        <x:v>Regular</x:v>
      </x:c>
      <x:c r="F156" s="601" t="str">
        <x:v>MHI/MRA</x:v>
      </x:c>
      <x:c r="G156" s="601" t="str">
        <x:v>7-9 • 02:30 PM–05:00 PM • Room 405</x:v>
      </x:c>
      <x:c r="H156" s="601" t="str">
        <x:v>Thu PM</x:v>
      </x:c>
      <x:c r="I156" s="601" t="str">
        <x:f>IF(E156="Extra",IF(AND(A156&lt;&gt;"",D156&lt;&gt;""),"Yes",""),IF(COUNTIF('Routine &amp; Holidays'!$M$8:$M$35,A156)&gt;0,"No",IF(D156="BECM 3204",IF(H156=Dashboard!$C$5,"Yes","No"),IF(D156="BECM 3208",IF(H156=Dashboard!$C$6,"Yes","No"),IF(D156="CE 3224",IF(H156=Dashboard!$C$7,"Yes","No"),IF(D156="BECM 3200",IF(Dashboard!$C$8="Every Week","Yes",IF(Dashboard!$C$8="Odd Weeks",IF(MOD(C156,2)=1,"Yes","No"),IF(MOD(C156,2)=0,"Yes","No"))),"Yes"))))))</x:f>
        <x:v>No</x:v>
      </x:c>
      <x:c r="J156" s="601"/>
      <x:c r="K156" s="601" t="str">
        <x:v>None</x:v>
      </x:c>
      <x:c r="L156" s="601"/>
      <x:c r="M156" s="601"/>
      <x:c r="N156" s="601"/>
      <x:c r="O156" s="602"/>
    </x:row>
    <x:row r="157">
      <x:c r="A157" s="580" t="n">
        <x:v>46324</x:v>
      </x:c>
      <x:c r="B157" s="581" t="str">
        <x:v>Thurs</x:v>
      </x:c>
      <x:c r="C157" s="581" t="n">
        <x:v>7</x:v>
      </x:c>
      <x:c r="D157" s="581" t="str">
        <x:v>BECM 3204</x:v>
      </x:c>
      <x:c r="E157" s="581" t="str">
        <x:v>Regular</x:v>
      </x:c>
      <x:c r="F157" s="601" t="str">
        <x:v>HRS/MR</x:v>
      </x:c>
      <x:c r="G157" s="601" t="str">
        <x:v>1-3 • 08:00 AM–10:30 AM</x:v>
      </x:c>
      <x:c r="H157" s="601" t="str">
        <x:v>Thu AM</x:v>
      </x:c>
      <x:c r="I157" s="601" t="str">
        <x:f>IF(E157="Extra",IF(AND(A157&lt;&gt;"",D157&lt;&gt;""),"Yes",""),IF(COUNTIF('Routine &amp; Holidays'!$M$8:$M$35,A157)&gt;0,"No",IF(D157="BECM 3204",IF(H157=Dashboard!$C$5,"Yes","No"),IF(D157="BECM 3208",IF(H157=Dashboard!$C$6,"Yes","No"),IF(D157="CE 3224",IF(H157=Dashboard!$C$7,"Yes","No"),IF(D157="BECM 3200",IF(Dashboard!$C$8="Every Week","Yes",IF(Dashboard!$C$8="Odd Weeks",IF(MOD(C157,2)=1,"Yes","No"),IF(MOD(C157,2)=0,"Yes","No"))),"Yes"))))))</x:f>
        <x:v>No</x:v>
      </x:c>
      <x:c r="J157" s="601"/>
      <x:c r="K157" s="601" t="str">
        <x:v>None</x:v>
      </x:c>
      <x:c r="L157" s="601"/>
      <x:c r="M157" s="601"/>
      <x:c r="N157" s="601"/>
      <x:c r="O157" s="602"/>
    </x:row>
    <x:row r="158">
      <x:c r="A158" s="580" t="n">
        <x:v>46324</x:v>
      </x:c>
      <x:c r="B158" s="581" t="str">
        <x:v>Thurs</x:v>
      </x:c>
      <x:c r="C158" s="581" t="n">
        <x:v>7</x:v>
      </x:c>
      <x:c r="D158" s="581" t="str">
        <x:v>BECM 3205</x:v>
      </x:c>
      <x:c r="E158" s="581" t="str">
        <x:v>Regular</x:v>
      </x:c>
      <x:c r="F158" s="601" t="str">
        <x:v>MSH</x:v>
      </x:c>
      <x:c r="G158" s="601" t="str">
        <x:v>4th • 10:40 AM–11:30 AM • Room 406</x:v>
      </x:c>
      <x:c r="H158" s="601" t="str">
        <x:v>THURS P4</x:v>
      </x:c>
      <x:c r="I158" s="601" t="str">
        <x:f>IF(E158="Extra",IF(AND(A158&lt;&gt;"",D158&lt;&gt;""),"Yes",""),IF(COUNTIF('Routine &amp; Holidays'!$M$8:$M$35,A158)&gt;0,"No",IF(D158="BECM 3204",IF(H158=Dashboard!$C$5,"Yes","No"),IF(D158="BECM 3208",IF(H158=Dashboard!$C$6,"Yes","No"),IF(D158="CE 3224",IF(H158=Dashboard!$C$7,"Yes","No"),IF(D158="BECM 3200",IF(Dashboard!$C$8="Every Week","Yes",IF(Dashboard!$C$8="Odd Weeks",IF(MOD(C158,2)=1,"Yes","No"),IF(MOD(C158,2)=0,"Yes","No"))),"Yes"))))))</x:f>
        <x:v>Yes</x:v>
      </x:c>
      <x:c r="J158" s="601"/>
      <x:c r="K158" s="601" t="str">
        <x:v>None</x:v>
      </x:c>
      <x:c r="L158" s="601"/>
      <x:c r="M158" s="601"/>
      <x:c r="N158" s="601"/>
      <x:c r="O158" s="602"/>
    </x:row>
    <x:row r="159">
      <x:c r="A159" s="580" t="n">
        <x:v>46324</x:v>
      </x:c>
      <x:c r="B159" s="581" t="str">
        <x:v>Thurs</x:v>
      </x:c>
      <x:c r="C159" s="581" t="n">
        <x:v>7</x:v>
      </x:c>
      <x:c r="D159" s="581" t="str">
        <x:v>CE 3211</x:v>
      </x:c>
      <x:c r="E159" s="581" t="str">
        <x:v>Regular</x:v>
      </x:c>
      <x:c r="F159" s="601" t="str">
        <x:v>MKI/ATB</x:v>
      </x:c>
      <x:c r="G159" s="601" t="str">
        <x:v>5th • 11:30 AM–12:20 PM • Room 406</x:v>
      </x:c>
      <x:c r="H159" s="601" t="str">
        <x:v>THURS P5</x:v>
      </x:c>
      <x:c r="I159" s="601" t="str">
        <x:f>IF(E159="Extra",IF(AND(A159&lt;&gt;"",D159&lt;&gt;""),"Yes",""),IF(COUNTIF('Routine &amp; Holidays'!$M$8:$M$35,A159)&gt;0,"No",IF(D159="BECM 3204",IF(H159=Dashboard!$C$5,"Yes","No"),IF(D159="BECM 3208",IF(H159=Dashboard!$C$6,"Yes","No"),IF(D159="CE 3224",IF(H159=Dashboard!$C$7,"Yes","No"),IF(D159="BECM 3200",IF(Dashboard!$C$8="Every Week","Yes",IF(Dashboard!$C$8="Odd Weeks",IF(MOD(C159,2)=1,"Yes","No"),IF(MOD(C159,2)=0,"Yes","No"))),"Yes"))))))</x:f>
        <x:v>Yes</x:v>
      </x:c>
      <x:c r="J159" s="601"/>
      <x:c r="K159" s="601" t="str">
        <x:v>None</x:v>
      </x:c>
      <x:c r="L159" s="601"/>
      <x:c r="M159" s="601"/>
      <x:c r="N159" s="601"/>
      <x:c r="O159" s="602"/>
    </x:row>
    <x:row r="160">
      <x:c r="A160" s="580" t="n">
        <x:v>46324</x:v>
      </x:c>
      <x:c r="B160" s="581" t="str">
        <x:v>Thurs</x:v>
      </x:c>
      <x:c r="C160" s="581" t="n">
        <x:v>7</x:v>
      </x:c>
      <x:c r="D160" s="581" t="str">
        <x:v>BECM 3201</x:v>
      </x:c>
      <x:c r="E160" s="581" t="str">
        <x:v>Regular</x:v>
      </x:c>
      <x:c r="F160" s="601" t="str">
        <x:v>MR/MRA</x:v>
      </x:c>
      <x:c r="G160" s="601" t="str">
        <x:v>6th • 12:20 PM–01:10 PM • Room 406</x:v>
      </x:c>
      <x:c r="H160" s="601" t="str">
        <x:v>THURS P6</x:v>
      </x:c>
      <x:c r="I160" s="601" t="str">
        <x:f>IF(E160="Extra",IF(AND(A160&lt;&gt;"",D160&lt;&gt;""),"Yes",""),IF(COUNTIF('Routine &amp; Holidays'!$M$8:$M$35,A160)&gt;0,"No",IF(D160="BECM 3204",IF(H160=Dashboard!$C$5,"Yes","No"),IF(D160="BECM 3208",IF(H160=Dashboard!$C$6,"Yes","No"),IF(D160="CE 3224",IF(H160=Dashboard!$C$7,"Yes","No"),IF(D160="BECM 3200",IF(Dashboard!$C$8="Every Week","Yes",IF(Dashboard!$C$8="Odd Weeks",IF(MOD(C160,2)=1,"Yes","No"),IF(MOD(C160,2)=0,"Yes","No"))),"Yes"))))))</x:f>
        <x:v>Yes</x:v>
      </x:c>
      <x:c r="J160" s="601"/>
      <x:c r="K160" s="601" t="str">
        <x:v>None</x:v>
      </x:c>
      <x:c r="L160" s="601"/>
      <x:c r="M160" s="601"/>
      <x:c r="N160" s="601"/>
      <x:c r="O160" s="602"/>
    </x:row>
    <x:row r="161">
      <x:c r="A161" s="580" t="n">
        <x:v>46327</x:v>
      </x:c>
      <x:c r="B161" s="581" t="str">
        <x:v>Sun</x:v>
      </x:c>
      <x:c r="C161" s="581" t="n">
        <x:v>8</x:v>
      </x:c>
      <x:c r="D161" s="581" t="str">
        <x:v>BECM 3204</x:v>
      </x:c>
      <x:c r="E161" s="581" t="str">
        <x:v>Regular</x:v>
      </x:c>
      <x:c r="F161" s="601" t="str">
        <x:v>HRS/MR</x:v>
      </x:c>
      <x:c r="G161" s="601" t="str">
        <x:v>7-9 • 02:30 PM–05:00 PM • Room 404</x:v>
      </x:c>
      <x:c r="H161" s="601" t="str">
        <x:v>Sun PM</x:v>
      </x:c>
      <x:c r="I161" s="601" t="str">
        <x:f>IF(E161="Extra",IF(AND(A161&lt;&gt;"",D161&lt;&gt;""),"Yes",""),IF(COUNTIF('Routine &amp; Holidays'!$M$8:$M$35,A161)&gt;0,"No",IF(D161="BECM 3204",IF(H161=Dashboard!$C$5,"Yes","No"),IF(D161="BECM 3208",IF(H161=Dashboard!$C$6,"Yes","No"),IF(D161="CE 3224",IF(H161=Dashboard!$C$7,"Yes","No"),IF(D161="BECM 3200",IF(Dashboard!$C$8="Every Week","Yes",IF(Dashboard!$C$8="Odd Weeks",IF(MOD(C161,2)=1,"Yes","No"),IF(MOD(C161,2)=0,"Yes","No"))),"Yes"))))))</x:f>
        <x:v>Yes</x:v>
      </x:c>
      <x:c r="J161" s="601"/>
      <x:c r="K161" s="601" t="str">
        <x:v>None</x:v>
      </x:c>
      <x:c r="L161" s="601"/>
      <x:c r="M161" s="601"/>
      <x:c r="N161" s="601"/>
      <x:c r="O161" s="602"/>
    </x:row>
    <x:row r="162">
      <x:c r="A162" s="580" t="n">
        <x:v>46327</x:v>
      </x:c>
      <x:c r="B162" s="581" t="str">
        <x:v>Sun</x:v>
      </x:c>
      <x:c r="C162" s="581" t="n">
        <x:v>8</x:v>
      </x:c>
      <x:c r="D162" s="581" t="str">
        <x:v>CE 3213</x:v>
      </x:c>
      <x:c r="E162" s="581" t="str">
        <x:v>Regular</x:v>
      </x:c>
      <x:c r="F162" s="601" t="str">
        <x:v>HRS</x:v>
      </x:c>
      <x:c r="G162" s="601" t="str">
        <x:v>4th • 10:40 AM–11:30 AM • Room 501</x:v>
      </x:c>
      <x:c r="H162" s="601" t="str">
        <x:v>SUN P4</x:v>
      </x:c>
      <x:c r="I162" s="601" t="str">
        <x:f>IF(E162="Extra",IF(AND(A162&lt;&gt;"",D162&lt;&gt;""),"Yes",""),IF(COUNTIF('Routine &amp; Holidays'!$M$8:$M$35,A162)&gt;0,"No",IF(D162="BECM 3204",IF(H162=Dashboard!$C$5,"Yes","No"),IF(D162="BECM 3208",IF(H162=Dashboard!$C$6,"Yes","No"),IF(D162="CE 3224",IF(H162=Dashboard!$C$7,"Yes","No"),IF(D162="BECM 3200",IF(Dashboard!$C$8="Every Week","Yes",IF(Dashboard!$C$8="Odd Weeks",IF(MOD(C162,2)=1,"Yes","No"),IF(MOD(C162,2)=0,"Yes","No"))),"Yes"))))))</x:f>
        <x:v>Yes</x:v>
      </x:c>
      <x:c r="J162" s="601"/>
      <x:c r="K162" s="601" t="str">
        <x:v>None</x:v>
      </x:c>
      <x:c r="L162" s="601"/>
      <x:c r="M162" s="601"/>
      <x:c r="N162" s="601"/>
      <x:c r="O162" s="602"/>
    </x:row>
    <x:row r="163">
      <x:c r="A163" s="580" t="n">
        <x:v>46327</x:v>
      </x:c>
      <x:c r="B163" s="581" t="str">
        <x:v>Sun</x:v>
      </x:c>
      <x:c r="C163" s="581" t="n">
        <x:v>8</x:v>
      </x:c>
      <x:c r="D163" s="581" t="str">
        <x:v>CE 3223</x:v>
      </x:c>
      <x:c r="E163" s="581" t="str">
        <x:v>Regular</x:v>
      </x:c>
      <x:c r="F163" s="601" t="str">
        <x:v>MSA</x:v>
      </x:c>
      <x:c r="G163" s="601" t="str">
        <x:v>5th • 11:30 AM–12:20 PM • Room 501</x:v>
      </x:c>
      <x:c r="H163" s="601" t="str">
        <x:v>SUN P5</x:v>
      </x:c>
      <x:c r="I163" s="601" t="str">
        <x:f>IF(E163="Extra",IF(AND(A163&lt;&gt;"",D163&lt;&gt;""),"Yes",""),IF(COUNTIF('Routine &amp; Holidays'!$M$8:$M$35,A163)&gt;0,"No",IF(D163="BECM 3204",IF(H163=Dashboard!$C$5,"Yes","No"),IF(D163="BECM 3208",IF(H163=Dashboard!$C$6,"Yes","No"),IF(D163="CE 3224",IF(H163=Dashboard!$C$7,"Yes","No"),IF(D163="BECM 3200",IF(Dashboard!$C$8="Every Week","Yes",IF(Dashboard!$C$8="Odd Weeks",IF(MOD(C163,2)=1,"Yes","No"),IF(MOD(C163,2)=0,"Yes","No"))),"Yes"))))))</x:f>
        <x:v>Yes</x:v>
      </x:c>
      <x:c r="J163" s="601"/>
      <x:c r="K163" s="601" t="str">
        <x:v>None</x:v>
      </x:c>
      <x:c r="L163" s="601"/>
      <x:c r="M163" s="601"/>
      <x:c r="N163" s="601"/>
      <x:c r="O163" s="602"/>
    </x:row>
    <x:row r="164">
      <x:c r="A164" s="580" t="n">
        <x:v>46327</x:v>
      </x:c>
      <x:c r="B164" s="581" t="str">
        <x:v>Sun</x:v>
      </x:c>
      <x:c r="C164" s="581" t="n">
        <x:v>8</x:v>
      </x:c>
      <x:c r="D164" s="581" t="str">
        <x:v>CE 3211</x:v>
      </x:c>
      <x:c r="E164" s="581" t="str">
        <x:v>Regular</x:v>
      </x:c>
      <x:c r="F164" s="601" t="str">
        <x:v>MKI</x:v>
      </x:c>
      <x:c r="G164" s="601" t="str">
        <x:v>6th • 12:20 PM–01:10 PM • Room 501</x:v>
      </x:c>
      <x:c r="H164" s="601" t="str">
        <x:v>SUN P6</x:v>
      </x:c>
      <x:c r="I164" s="601" t="str">
        <x:f>IF(E164="Extra",IF(AND(A164&lt;&gt;"",D164&lt;&gt;""),"Yes",""),IF(COUNTIF('Routine &amp; Holidays'!$M$8:$M$35,A164)&gt;0,"No",IF(D164="BECM 3204",IF(H164=Dashboard!$C$5,"Yes","No"),IF(D164="BECM 3208",IF(H164=Dashboard!$C$6,"Yes","No"),IF(D164="CE 3224",IF(H164=Dashboard!$C$7,"Yes","No"),IF(D164="BECM 3200",IF(Dashboard!$C$8="Every Week","Yes",IF(Dashboard!$C$8="Odd Weeks",IF(MOD(C164,2)=1,"Yes","No"),IF(MOD(C164,2)=0,"Yes","No"))),"Yes"))))))</x:f>
        <x:v>Yes</x:v>
      </x:c>
      <x:c r="J164" s="601"/>
      <x:c r="K164" s="601" t="str">
        <x:v>None</x:v>
      </x:c>
      <x:c r="L164" s="601"/>
      <x:c r="M164" s="601"/>
      <x:c r="N164" s="601"/>
      <x:c r="O164" s="602"/>
    </x:row>
    <x:row r="165">
      <x:c r="A165" s="580" t="n">
        <x:v>46328</x:v>
      </x:c>
      <x:c r="B165" s="581" t="str">
        <x:v>Mon</x:v>
      </x:c>
      <x:c r="C165" s="581" t="n">
        <x:v>8</x:v>
      </x:c>
      <x:c r="D165" s="581" t="str">
        <x:v>BECM 3200</x:v>
      </x:c>
      <x:c r="E165" s="581" t="str">
        <x:v>Regular</x:v>
      </x:c>
      <x:c r="F165" s="601" t="str">
        <x:v>ALL</x:v>
      </x:c>
      <x:c r="G165" s="601" t="str">
        <x:v>7-9 • 02:30 PM–05:00 PM</x:v>
      </x:c>
      <x:c r="H165" s="601" t="str">
        <x:v>Mon PM</x:v>
      </x:c>
      <x:c r="I165" s="601" t="str">
        <x:f>IF(E165="Extra",IF(AND(A165&lt;&gt;"",D165&lt;&gt;""),"Yes",""),IF(COUNTIF('Routine &amp; Holidays'!$M$8:$M$35,A165)&gt;0,"No",IF(D165="BECM 3204",IF(H165=Dashboard!$C$5,"Yes","No"),IF(D165="BECM 3208",IF(H165=Dashboard!$C$6,"Yes","No"),IF(D165="CE 3224",IF(H165=Dashboard!$C$7,"Yes","No"),IF(D165="BECM 3200",IF(Dashboard!$C$8="Every Week","Yes",IF(Dashboard!$C$8="Odd Weeks",IF(MOD(C165,2)=1,"Yes","No"),IF(MOD(C165,2)=0,"Yes","No"))),"Yes"))))))</x:f>
        <x:v>No</x:v>
      </x:c>
      <x:c r="J165" s="601"/>
      <x:c r="K165" s="601" t="str">
        <x:v>None</x:v>
      </x:c>
      <x:c r="L165" s="601"/>
      <x:c r="M165" s="601"/>
      <x:c r="N165" s="601"/>
      <x:c r="O165" s="602"/>
    </x:row>
    <x:row r="166">
      <x:c r="A166" s="580" t="n">
        <x:v>46328</x:v>
      </x:c>
      <x:c r="B166" s="581" t="str">
        <x:v>Mon</x:v>
      </x:c>
      <x:c r="C166" s="581" t="n">
        <x:v>8</x:v>
      </x:c>
      <x:c r="D166" s="581" t="str">
        <x:v>CE 3223</x:v>
      </x:c>
      <x:c r="E166" s="581" t="str">
        <x:v>Regular</x:v>
      </x:c>
      <x:c r="F166" s="601" t="str">
        <x:v>MHI/MSA</x:v>
      </x:c>
      <x:c r="G166" s="601" t="str">
        <x:v>3rd • 09:40 AM–10:30 AM • Room 404</x:v>
      </x:c>
      <x:c r="H166" s="601" t="str">
        <x:v>MON P3</x:v>
      </x:c>
      <x:c r="I166" s="601" t="str">
        <x:f>IF(E166="Extra",IF(AND(A166&lt;&gt;"",D166&lt;&gt;""),"Yes",""),IF(COUNTIF('Routine &amp; Holidays'!$M$8:$M$35,A166)&gt;0,"No",IF(D166="BECM 3204",IF(H166=Dashboard!$C$5,"Yes","No"),IF(D166="BECM 3208",IF(H166=Dashboard!$C$6,"Yes","No"),IF(D166="CE 3224",IF(H166=Dashboard!$C$7,"Yes","No"),IF(D166="BECM 3200",IF(Dashboard!$C$8="Every Week","Yes",IF(Dashboard!$C$8="Odd Weeks",IF(MOD(C166,2)=1,"Yes","No"),IF(MOD(C166,2)=0,"Yes","No"))),"Yes"))))))</x:f>
        <x:v>Yes</x:v>
      </x:c>
      <x:c r="J166" s="601"/>
      <x:c r="K166" s="601" t="str">
        <x:v>None</x:v>
      </x:c>
      <x:c r="L166" s="601"/>
      <x:c r="M166" s="601"/>
      <x:c r="N166" s="601"/>
      <x:c r="O166" s="602"/>
    </x:row>
    <x:row r="167">
      <x:c r="A167" s="580" t="n">
        <x:v>46328</x:v>
      </x:c>
      <x:c r="B167" s="581" t="str">
        <x:v>Mon</x:v>
      </x:c>
      <x:c r="C167" s="581" t="n">
        <x:v>8</x:v>
      </x:c>
      <x:c r="D167" s="581" t="str">
        <x:v>BECM 3201</x:v>
      </x:c>
      <x:c r="E167" s="581" t="str">
        <x:v>Regular</x:v>
      </x:c>
      <x:c r="F167" s="601" t="str">
        <x:v>MR</x:v>
      </x:c>
      <x:c r="G167" s="601" t="str">
        <x:v>5th • 11:30 AM–12:20 PM • Room 405</x:v>
      </x:c>
      <x:c r="H167" s="601" t="str">
        <x:v>MON P5</x:v>
      </x:c>
      <x:c r="I167" s="601" t="str">
        <x:f>IF(E167="Extra",IF(AND(A167&lt;&gt;"",D167&lt;&gt;""),"Yes",""),IF(COUNTIF('Routine &amp; Holidays'!$M$8:$M$35,A167)&gt;0,"No",IF(D167="BECM 3204",IF(H167=Dashboard!$C$5,"Yes","No"),IF(D167="BECM 3208",IF(H167=Dashboard!$C$6,"Yes","No"),IF(D167="CE 3224",IF(H167=Dashboard!$C$7,"Yes","No"),IF(D167="BECM 3200",IF(Dashboard!$C$8="Every Week","Yes",IF(Dashboard!$C$8="Odd Weeks",IF(MOD(C167,2)=1,"Yes","No"),IF(MOD(C167,2)=0,"Yes","No"))),"Yes"))))))</x:f>
        <x:v>Yes</x:v>
      </x:c>
      <x:c r="J167" s="601"/>
      <x:c r="K167" s="601" t="str">
        <x:v>None</x:v>
      </x:c>
      <x:c r="L167" s="601"/>
      <x:c r="M167" s="601"/>
      <x:c r="N167" s="601"/>
      <x:c r="O167" s="602"/>
    </x:row>
    <x:row r="168">
      <x:c r="A168" s="580" t="n">
        <x:v>46328</x:v>
      </x:c>
      <x:c r="B168" s="581" t="str">
        <x:v>Mon</x:v>
      </x:c>
      <x:c r="C168" s="581" t="n">
        <x:v>8</x:v>
      </x:c>
      <x:c r="D168" s="581" t="str">
        <x:v>BECM 3205</x:v>
      </x:c>
      <x:c r="E168" s="581" t="str">
        <x:v>Regular</x:v>
      </x:c>
      <x:c r="F168" s="601" t="str">
        <x:v>AAM</x:v>
      </x:c>
      <x:c r="G168" s="601" t="str">
        <x:v>6th • 12:20 PM–01:10 PM • Room 405</x:v>
      </x:c>
      <x:c r="H168" s="601" t="str">
        <x:v>MON P6</x:v>
      </x:c>
      <x:c r="I168" s="601" t="str">
        <x:f>IF(E168="Extra",IF(AND(A168&lt;&gt;"",D168&lt;&gt;""),"Yes",""),IF(COUNTIF('Routine &amp; Holidays'!$M$8:$M$35,A168)&gt;0,"No",IF(D168="BECM 3204",IF(H168=Dashboard!$C$5,"Yes","No"),IF(D168="BECM 3208",IF(H168=Dashboard!$C$6,"Yes","No"),IF(D168="CE 3224",IF(H168=Dashboard!$C$7,"Yes","No"),IF(D168="BECM 3200",IF(Dashboard!$C$8="Every Week","Yes",IF(Dashboard!$C$8="Odd Weeks",IF(MOD(C168,2)=1,"Yes","No"),IF(MOD(C168,2)=0,"Yes","No"))),"Yes"))))))</x:f>
        <x:v>Yes</x:v>
      </x:c>
      <x:c r="J168" s="601"/>
      <x:c r="K168" s="601" t="str">
        <x:v>None</x:v>
      </x:c>
      <x:c r="L168" s="601"/>
      <x:c r="M168" s="601"/>
      <x:c r="N168" s="601"/>
      <x:c r="O168" s="602"/>
    </x:row>
    <x:row r="169">
      <x:c r="A169" s="580" t="n">
        <x:v>46329</x:v>
      </x:c>
      <x:c r="B169" s="581" t="str">
        <x:v>Tues</x:v>
      </x:c>
      <x:c r="C169" s="581" t="n">
        <x:v>8</x:v>
      </x:c>
      <x:c r="D169" s="581" t="str">
        <x:v>BECM 3208</x:v>
      </x:c>
      <x:c r="E169" s="581" t="str">
        <x:v>Regular</x:v>
      </x:c>
      <x:c r="F169" s="601" t="str">
        <x:v>MSH/MSA</x:v>
      </x:c>
      <x:c r="G169" s="601" t="str">
        <x:v>7-9 • 02:30 PM–05:00 PM</x:v>
      </x:c>
      <x:c r="H169" s="601" t="str">
        <x:v>Tue PM</x:v>
      </x:c>
      <x:c r="I169" s="601" t="str">
        <x:f>IF(E169="Extra",IF(AND(A169&lt;&gt;"",D169&lt;&gt;""),"Yes",""),IF(COUNTIF('Routine &amp; Holidays'!$M$8:$M$35,A169)&gt;0,"No",IF(D169="BECM 3204",IF(H169=Dashboard!$C$5,"Yes","No"),IF(D169="BECM 3208",IF(H169=Dashboard!$C$6,"Yes","No"),IF(D169="CE 3224",IF(H169=Dashboard!$C$7,"Yes","No"),IF(D169="BECM 3200",IF(Dashboard!$C$8="Every Week","Yes",IF(Dashboard!$C$8="Odd Weeks",IF(MOD(C169,2)=1,"Yes","No"),IF(MOD(C169,2)=0,"Yes","No"))),"Yes"))))))</x:f>
        <x:v>Yes</x:v>
      </x:c>
      <x:c r="J169" s="601"/>
      <x:c r="K169" s="601" t="str">
        <x:v>None</x:v>
      </x:c>
      <x:c r="L169" s="601"/>
      <x:c r="M169" s="601"/>
      <x:c r="N169" s="601"/>
      <x:c r="O169" s="602"/>
    </x:row>
    <x:row r="170">
      <x:c r="A170" s="580" t="n">
        <x:v>46329</x:v>
      </x:c>
      <x:c r="B170" s="581" t="str">
        <x:v>Tues</x:v>
      </x:c>
      <x:c r="C170" s="581" t="n">
        <x:v>8</x:v>
      </x:c>
      <x:c r="D170" s="581" t="str">
        <x:v>CE 3224</x:v>
      </x:c>
      <x:c r="E170" s="581" t="str">
        <x:v>Regular</x:v>
      </x:c>
      <x:c r="F170" s="601" t="str">
        <x:v>MHI/MRA</x:v>
      </x:c>
      <x:c r="G170" s="601" t="str">
        <x:v>1-3 • 08:00 AM–10:30 AM</x:v>
      </x:c>
      <x:c r="H170" s="601" t="str">
        <x:v>Tue AM</x:v>
      </x:c>
      <x:c r="I170" s="601" t="str">
        <x:f>IF(E170="Extra",IF(AND(A170&lt;&gt;"",D170&lt;&gt;""),"Yes",""),IF(COUNTIF('Routine &amp; Holidays'!$M$8:$M$35,A170)&gt;0,"No",IF(D170="BECM 3204",IF(H170=Dashboard!$C$5,"Yes","No"),IF(D170="BECM 3208",IF(H170=Dashboard!$C$6,"Yes","No"),IF(D170="CE 3224",IF(H170=Dashboard!$C$7,"Yes","No"),IF(D170="BECM 3200",IF(Dashboard!$C$8="Every Week","Yes",IF(Dashboard!$C$8="Odd Weeks",IF(MOD(C170,2)=1,"Yes","No"),IF(MOD(C170,2)=0,"Yes","No"))),"Yes"))))))</x:f>
        <x:v>Yes</x:v>
      </x:c>
      <x:c r="J170" s="601"/>
      <x:c r="K170" s="601" t="str">
        <x:v>None</x:v>
      </x:c>
      <x:c r="L170" s="601"/>
      <x:c r="M170" s="601"/>
      <x:c r="N170" s="601"/>
      <x:c r="O170" s="602"/>
    </x:row>
    <x:row r="171">
      <x:c r="A171" s="580" t="n">
        <x:v>46329</x:v>
      </x:c>
      <x:c r="B171" s="581" t="str">
        <x:v>Tues</x:v>
      </x:c>
      <x:c r="C171" s="581" t="n">
        <x:v>8</x:v>
      </x:c>
      <x:c r="D171" s="581" t="str">
        <x:v>CE 3213</x:v>
      </x:c>
      <x:c r="E171" s="581" t="str">
        <x:v>Regular</x:v>
      </x:c>
      <x:c r="F171" s="601" t="str">
        <x:v>MKI</x:v>
      </x:c>
      <x:c r="G171" s="601" t="str">
        <x:v>5th • 11:30 AM–12:20 PM • Room 405</x:v>
      </x:c>
      <x:c r="H171" s="601" t="str">
        <x:v>TUES P5</x:v>
      </x:c>
      <x:c r="I171" s="601" t="str">
        <x:f>IF(E171="Extra",IF(AND(A171&lt;&gt;"",D171&lt;&gt;""),"Yes",""),IF(COUNTIF('Routine &amp; Holidays'!$M$8:$M$35,A171)&gt;0,"No",IF(D171="BECM 3204",IF(H171=Dashboard!$C$5,"Yes","No"),IF(D171="BECM 3208",IF(H171=Dashboard!$C$6,"Yes","No"),IF(D171="CE 3224",IF(H171=Dashboard!$C$7,"Yes","No"),IF(D171="BECM 3200",IF(Dashboard!$C$8="Every Week","Yes",IF(Dashboard!$C$8="Odd Weeks",IF(MOD(C171,2)=1,"Yes","No"),IF(MOD(C171,2)=0,"Yes","No"))),"Yes"))))))</x:f>
        <x:v>Yes</x:v>
      </x:c>
      <x:c r="J171" s="601"/>
      <x:c r="K171" s="601" t="str">
        <x:v>None</x:v>
      </x:c>
      <x:c r="L171" s="601"/>
      <x:c r="M171" s="601"/>
      <x:c r="N171" s="601"/>
      <x:c r="O171" s="602"/>
    </x:row>
    <x:row r="172">
      <x:c r="A172" s="580" t="n">
        <x:v>46329</x:v>
      </x:c>
      <x:c r="B172" s="581" t="str">
        <x:v>Tues</x:v>
      </x:c>
      <x:c r="C172" s="581" t="n">
        <x:v>8</x:v>
      </x:c>
      <x:c r="D172" s="581" t="str">
        <x:v>BECM 3201</x:v>
      </x:c>
      <x:c r="E172" s="581" t="str">
        <x:v>Regular</x:v>
      </x:c>
      <x:c r="F172" s="601" t="str">
        <x:v>MRA</x:v>
      </x:c>
      <x:c r="G172" s="601" t="str">
        <x:v>6th • 12:20 PM–01:10 PM • Room 405</x:v>
      </x:c>
      <x:c r="H172" s="601" t="str">
        <x:v>TUES P6</x:v>
      </x:c>
      <x:c r="I172" s="601" t="str">
        <x:f>IF(E172="Extra",IF(AND(A172&lt;&gt;"",D172&lt;&gt;""),"Yes",""),IF(COUNTIF('Routine &amp; Holidays'!$M$8:$M$35,A172)&gt;0,"No",IF(D172="BECM 3204",IF(H172=Dashboard!$C$5,"Yes","No"),IF(D172="BECM 3208",IF(H172=Dashboard!$C$6,"Yes","No"),IF(D172="CE 3224",IF(H172=Dashboard!$C$7,"Yes","No"),IF(D172="BECM 3200",IF(Dashboard!$C$8="Every Week","Yes",IF(Dashboard!$C$8="Odd Weeks",IF(MOD(C172,2)=1,"Yes","No"),IF(MOD(C172,2)=0,"Yes","No"))),"Yes"))))))</x:f>
        <x:v>Yes</x:v>
      </x:c>
      <x:c r="J172" s="601"/>
      <x:c r="K172" s="601" t="str">
        <x:v>None</x:v>
      </x:c>
      <x:c r="L172" s="601"/>
      <x:c r="M172" s="601"/>
      <x:c r="N172" s="601"/>
      <x:c r="O172" s="602"/>
    </x:row>
    <x:row r="173">
      <x:c r="A173" s="580" t="n">
        <x:v>46330</x:v>
      </x:c>
      <x:c r="B173" s="581" t="str">
        <x:v>Wed</x:v>
      </x:c>
      <x:c r="C173" s="581" t="n">
        <x:v>8</x:v>
      </x:c>
      <x:c r="D173" s="581" t="str">
        <x:v>BECM 3208</x:v>
      </x:c>
      <x:c r="E173" s="581" t="str">
        <x:v>Regular</x:v>
      </x:c>
      <x:c r="F173" s="601" t="str">
        <x:v>MSH/MSA</x:v>
      </x:c>
      <x:c r="G173" s="601" t="str">
        <x:v>7-9 • 02:30 PM–05:00 PM • Room 501</x:v>
      </x:c>
      <x:c r="H173" s="601" t="str">
        <x:v>Wed PM</x:v>
      </x:c>
      <x:c r="I173" s="601" t="str">
        <x:f>IF(E173="Extra",IF(AND(A173&lt;&gt;"",D173&lt;&gt;""),"Yes",""),IF(COUNTIF('Routine &amp; Holidays'!$M$8:$M$35,A173)&gt;0,"No",IF(D173="BECM 3204",IF(H173=Dashboard!$C$5,"Yes","No"),IF(D173="BECM 3208",IF(H173=Dashboard!$C$6,"Yes","No"),IF(D173="CE 3224",IF(H173=Dashboard!$C$7,"Yes","No"),IF(D173="BECM 3200",IF(Dashboard!$C$8="Every Week","Yes",IF(Dashboard!$C$8="Odd Weeks",IF(MOD(C173,2)=1,"Yes","No"),IF(MOD(C173,2)=0,"Yes","No"))),"Yes"))))))</x:f>
        <x:v>No</x:v>
      </x:c>
      <x:c r="J173" s="601"/>
      <x:c r="K173" s="601" t="str">
        <x:v>None</x:v>
      </x:c>
      <x:c r="L173" s="601"/>
      <x:c r="M173" s="601"/>
      <x:c r="N173" s="601"/>
      <x:c r="O173" s="602"/>
    </x:row>
    <x:row r="174">
      <x:c r="A174" s="580" t="n">
        <x:v>46330</x:v>
      </x:c>
      <x:c r="B174" s="581" t="str">
        <x:v>Wed</x:v>
      </x:c>
      <x:c r="C174" s="581" t="n">
        <x:v>8</x:v>
      </x:c>
      <x:c r="D174" s="581" t="str">
        <x:v>CE 3213</x:v>
      </x:c>
      <x:c r="E174" s="581" t="str">
        <x:v>Regular</x:v>
      </x:c>
      <x:c r="F174" s="601" t="str">
        <x:v>HRS/MKI</x:v>
      </x:c>
      <x:c r="G174" s="601" t="str">
        <x:v>3rd • 09:40 AM–10:30 AM • Room 501</x:v>
      </x:c>
      <x:c r="H174" s="601" t="str">
        <x:v>WED P3</x:v>
      </x:c>
      <x:c r="I174" s="601" t="str">
        <x:f>IF(E174="Extra",IF(AND(A174&lt;&gt;"",D174&lt;&gt;""),"Yes",""),IF(COUNTIF('Routine &amp; Holidays'!$M$8:$M$35,A174)&gt;0,"No",IF(D174="BECM 3204",IF(H174=Dashboard!$C$5,"Yes","No"),IF(D174="BECM 3208",IF(H174=Dashboard!$C$6,"Yes","No"),IF(D174="CE 3224",IF(H174=Dashboard!$C$7,"Yes","No"),IF(D174="BECM 3200",IF(Dashboard!$C$8="Every Week","Yes",IF(Dashboard!$C$8="Odd Weeks",IF(MOD(C174,2)=1,"Yes","No"),IF(MOD(C174,2)=0,"Yes","No"))),"Yes"))))))</x:f>
        <x:v>Yes</x:v>
      </x:c>
      <x:c r="J174" s="601"/>
      <x:c r="K174" s="601" t="str">
        <x:v>None</x:v>
      </x:c>
      <x:c r="L174" s="601"/>
      <x:c r="M174" s="601"/>
      <x:c r="N174" s="601"/>
      <x:c r="O174" s="602"/>
    </x:row>
    <x:row r="175">
      <x:c r="A175" s="580" t="n">
        <x:v>46330</x:v>
      </x:c>
      <x:c r="B175" s="581" t="str">
        <x:v>Wed</x:v>
      </x:c>
      <x:c r="C175" s="581" t="n">
        <x:v>8</x:v>
      </x:c>
      <x:c r="D175" s="581" t="str">
        <x:v>CE 3211</x:v>
      </x:c>
      <x:c r="E175" s="581" t="str">
        <x:v>Regular</x:v>
      </x:c>
      <x:c r="F175" s="601" t="str">
        <x:v>ATB</x:v>
      </x:c>
      <x:c r="G175" s="601" t="str">
        <x:v>4th • 10:40 AM–11:30 AM • Room 501</x:v>
      </x:c>
      <x:c r="H175" s="601" t="str">
        <x:v>WED P4</x:v>
      </x:c>
      <x:c r="I175" s="601" t="str">
        <x:f>IF(E175="Extra",IF(AND(A175&lt;&gt;"",D175&lt;&gt;""),"Yes",""),IF(COUNTIF('Routine &amp; Holidays'!$M$8:$M$35,A175)&gt;0,"No",IF(D175="BECM 3204",IF(H175=Dashboard!$C$5,"Yes","No"),IF(D175="BECM 3208",IF(H175=Dashboard!$C$6,"Yes","No"),IF(D175="CE 3224",IF(H175=Dashboard!$C$7,"Yes","No"),IF(D175="BECM 3200",IF(Dashboard!$C$8="Every Week","Yes",IF(Dashboard!$C$8="Odd Weeks",IF(MOD(C175,2)=1,"Yes","No"),IF(MOD(C175,2)=0,"Yes","No"))),"Yes"))))))</x:f>
        <x:v>Yes</x:v>
      </x:c>
      <x:c r="J175" s="601"/>
      <x:c r="K175" s="601" t="str">
        <x:v>None</x:v>
      </x:c>
      <x:c r="L175" s="601"/>
      <x:c r="M175" s="601"/>
      <x:c r="N175" s="601"/>
      <x:c r="O175" s="602"/>
    </x:row>
    <x:row r="176">
      <x:c r="A176" s="580" t="n">
        <x:v>46330</x:v>
      </x:c>
      <x:c r="B176" s="581" t="str">
        <x:v>Wed</x:v>
      </x:c>
      <x:c r="C176" s="581" t="n">
        <x:v>8</x:v>
      </x:c>
      <x:c r="D176" s="581" t="str">
        <x:v>CE 3223</x:v>
      </x:c>
      <x:c r="E176" s="581" t="str">
        <x:v>Regular</x:v>
      </x:c>
      <x:c r="F176" s="601" t="str">
        <x:v>MHI</x:v>
      </x:c>
      <x:c r="G176" s="601" t="str">
        <x:v>5th • 11:30 AM–12:20 PM • Room 501</x:v>
      </x:c>
      <x:c r="H176" s="601" t="str">
        <x:v>WED P5</x:v>
      </x:c>
      <x:c r="I176" s="601" t="str">
        <x:f>IF(E176="Extra",IF(AND(A176&lt;&gt;"",D176&lt;&gt;""),"Yes",""),IF(COUNTIF('Routine &amp; Holidays'!$M$8:$M$35,A176)&gt;0,"No",IF(D176="BECM 3204",IF(H176=Dashboard!$C$5,"Yes","No"),IF(D176="BECM 3208",IF(H176=Dashboard!$C$6,"Yes","No"),IF(D176="CE 3224",IF(H176=Dashboard!$C$7,"Yes","No"),IF(D176="BECM 3200",IF(Dashboard!$C$8="Every Week","Yes",IF(Dashboard!$C$8="Odd Weeks",IF(MOD(C176,2)=1,"Yes","No"),IF(MOD(C176,2)=0,"Yes","No"))),"Yes"))))))</x:f>
        <x:v>Yes</x:v>
      </x:c>
      <x:c r="J176" s="601"/>
      <x:c r="K176" s="601" t="str">
        <x:v>None</x:v>
      </x:c>
      <x:c r="L176" s="601"/>
      <x:c r="M176" s="601"/>
      <x:c r="N176" s="601"/>
      <x:c r="O176" s="602"/>
    </x:row>
    <x:row r="177">
      <x:c r="A177" s="580" t="n">
        <x:v>46330</x:v>
      </x:c>
      <x:c r="B177" s="581" t="str">
        <x:v>Wed</x:v>
      </x:c>
      <x:c r="C177" s="581" t="n">
        <x:v>8</x:v>
      </x:c>
      <x:c r="D177" s="581" t="str">
        <x:v>BECM 3205</x:v>
      </x:c>
      <x:c r="E177" s="581" t="str">
        <x:v>Regular</x:v>
      </x:c>
      <x:c r="F177" s="601" t="str">
        <x:v>MSH/AAM</x:v>
      </x:c>
      <x:c r="G177" s="601" t="str">
        <x:v>6th • 12:20 PM–01:10 PM • Room 501</x:v>
      </x:c>
      <x:c r="H177" s="601" t="str">
        <x:v>WED P6</x:v>
      </x:c>
      <x:c r="I177" s="601" t="str">
        <x:f>IF(E177="Extra",IF(AND(A177&lt;&gt;"",D177&lt;&gt;""),"Yes",""),IF(COUNTIF('Routine &amp; Holidays'!$M$8:$M$35,A177)&gt;0,"No",IF(D177="BECM 3204",IF(H177=Dashboard!$C$5,"Yes","No"),IF(D177="BECM 3208",IF(H177=Dashboard!$C$6,"Yes","No"),IF(D177="CE 3224",IF(H177=Dashboard!$C$7,"Yes","No"),IF(D177="BECM 3200",IF(Dashboard!$C$8="Every Week","Yes",IF(Dashboard!$C$8="Odd Weeks",IF(MOD(C177,2)=1,"Yes","No"),IF(MOD(C177,2)=0,"Yes","No"))),"Yes"))))))</x:f>
        <x:v>Yes</x:v>
      </x:c>
      <x:c r="J177" s="601"/>
      <x:c r="K177" s="601" t="str">
        <x:v>None</x:v>
      </x:c>
      <x:c r="L177" s="601"/>
      <x:c r="M177" s="601"/>
      <x:c r="N177" s="601"/>
      <x:c r="O177" s="602"/>
    </x:row>
    <x:row r="178">
      <x:c r="A178" s="580" t="n">
        <x:v>46331</x:v>
      </x:c>
      <x:c r="B178" s="581" t="str">
        <x:v>Thurs</x:v>
      </x:c>
      <x:c r="C178" s="581" t="n">
        <x:v>8</x:v>
      </x:c>
      <x:c r="D178" s="581" t="str">
        <x:v>CE 3224</x:v>
      </x:c>
      <x:c r="E178" s="581" t="str">
        <x:v>Regular</x:v>
      </x:c>
      <x:c r="F178" s="601" t="str">
        <x:v>MHI/MRA</x:v>
      </x:c>
      <x:c r="G178" s="601" t="str">
        <x:v>7-9 • 02:30 PM–05:00 PM • Room 405</x:v>
      </x:c>
      <x:c r="H178" s="601" t="str">
        <x:v>Thu PM</x:v>
      </x:c>
      <x:c r="I178" s="601" t="str">
        <x:f>IF(E178="Extra",IF(AND(A178&lt;&gt;"",D178&lt;&gt;""),"Yes",""),IF(COUNTIF('Routine &amp; Holidays'!$M$8:$M$35,A178)&gt;0,"No",IF(D178="BECM 3204",IF(H178=Dashboard!$C$5,"Yes","No"),IF(D178="BECM 3208",IF(H178=Dashboard!$C$6,"Yes","No"),IF(D178="CE 3224",IF(H178=Dashboard!$C$7,"Yes","No"),IF(D178="BECM 3200",IF(Dashboard!$C$8="Every Week","Yes",IF(Dashboard!$C$8="Odd Weeks",IF(MOD(C178,2)=1,"Yes","No"),IF(MOD(C178,2)=0,"Yes","No"))),"Yes"))))))</x:f>
        <x:v>No</x:v>
      </x:c>
      <x:c r="J178" s="601"/>
      <x:c r="K178" s="601" t="str">
        <x:v>None</x:v>
      </x:c>
      <x:c r="L178" s="601"/>
      <x:c r="M178" s="601"/>
      <x:c r="N178" s="601"/>
      <x:c r="O178" s="602"/>
    </x:row>
    <x:row r="179">
      <x:c r="A179" s="580" t="n">
        <x:v>46331</x:v>
      </x:c>
      <x:c r="B179" s="581" t="str">
        <x:v>Thurs</x:v>
      </x:c>
      <x:c r="C179" s="581" t="n">
        <x:v>8</x:v>
      </x:c>
      <x:c r="D179" s="581" t="str">
        <x:v>BECM 3204</x:v>
      </x:c>
      <x:c r="E179" s="581" t="str">
        <x:v>Regular</x:v>
      </x:c>
      <x:c r="F179" s="601" t="str">
        <x:v>HRS/MR</x:v>
      </x:c>
      <x:c r="G179" s="601" t="str">
        <x:v>1-3 • 08:00 AM–10:30 AM</x:v>
      </x:c>
      <x:c r="H179" s="601" t="str">
        <x:v>Thu AM</x:v>
      </x:c>
      <x:c r="I179" s="601" t="str">
        <x:f>IF(E179="Extra",IF(AND(A179&lt;&gt;"",D179&lt;&gt;""),"Yes",""),IF(COUNTIF('Routine &amp; Holidays'!$M$8:$M$35,A179)&gt;0,"No",IF(D179="BECM 3204",IF(H179=Dashboard!$C$5,"Yes","No"),IF(D179="BECM 3208",IF(H179=Dashboard!$C$6,"Yes","No"),IF(D179="CE 3224",IF(H179=Dashboard!$C$7,"Yes","No"),IF(D179="BECM 3200",IF(Dashboard!$C$8="Every Week","Yes",IF(Dashboard!$C$8="Odd Weeks",IF(MOD(C179,2)=1,"Yes","No"),IF(MOD(C179,2)=0,"Yes","No"))),"Yes"))))))</x:f>
        <x:v>No</x:v>
      </x:c>
      <x:c r="J179" s="601"/>
      <x:c r="K179" s="601" t="str">
        <x:v>None</x:v>
      </x:c>
      <x:c r="L179" s="601"/>
      <x:c r="M179" s="601"/>
      <x:c r="N179" s="601"/>
      <x:c r="O179" s="602"/>
    </x:row>
    <x:row r="180">
      <x:c r="A180" s="580" t="n">
        <x:v>46331</x:v>
      </x:c>
      <x:c r="B180" s="581" t="str">
        <x:v>Thurs</x:v>
      </x:c>
      <x:c r="C180" s="581" t="n">
        <x:v>8</x:v>
      </x:c>
      <x:c r="D180" s="581" t="str">
        <x:v>BECM 3205</x:v>
      </x:c>
      <x:c r="E180" s="581" t="str">
        <x:v>Regular</x:v>
      </x:c>
      <x:c r="F180" s="601" t="str">
        <x:v>MSH</x:v>
      </x:c>
      <x:c r="G180" s="601" t="str">
        <x:v>4th • 10:40 AM–11:30 AM • Room 406</x:v>
      </x:c>
      <x:c r="H180" s="601" t="str">
        <x:v>THURS P4</x:v>
      </x:c>
      <x:c r="I180" s="601" t="str">
        <x:f>IF(E180="Extra",IF(AND(A180&lt;&gt;"",D180&lt;&gt;""),"Yes",""),IF(COUNTIF('Routine &amp; Holidays'!$M$8:$M$35,A180)&gt;0,"No",IF(D180="BECM 3204",IF(H180=Dashboard!$C$5,"Yes","No"),IF(D180="BECM 3208",IF(H180=Dashboard!$C$6,"Yes","No"),IF(D180="CE 3224",IF(H180=Dashboard!$C$7,"Yes","No"),IF(D180="BECM 3200",IF(Dashboard!$C$8="Every Week","Yes",IF(Dashboard!$C$8="Odd Weeks",IF(MOD(C180,2)=1,"Yes","No"),IF(MOD(C180,2)=0,"Yes","No"))),"Yes"))))))</x:f>
        <x:v>Yes</x:v>
      </x:c>
      <x:c r="J180" s="601"/>
      <x:c r="K180" s="601" t="str">
        <x:v>None</x:v>
      </x:c>
      <x:c r="L180" s="601"/>
      <x:c r="M180" s="601"/>
      <x:c r="N180" s="601"/>
      <x:c r="O180" s="602"/>
    </x:row>
    <x:row r="181">
      <x:c r="A181" s="580" t="n">
        <x:v>46331</x:v>
      </x:c>
      <x:c r="B181" s="581" t="str">
        <x:v>Thurs</x:v>
      </x:c>
      <x:c r="C181" s="581" t="n">
        <x:v>8</x:v>
      </x:c>
      <x:c r="D181" s="581" t="str">
        <x:v>CE 3211</x:v>
      </x:c>
      <x:c r="E181" s="581" t="str">
        <x:v>Regular</x:v>
      </x:c>
      <x:c r="F181" s="601" t="str">
        <x:v>MKI/ATB</x:v>
      </x:c>
      <x:c r="G181" s="601" t="str">
        <x:v>5th • 11:30 AM–12:20 PM • Room 406</x:v>
      </x:c>
      <x:c r="H181" s="601" t="str">
        <x:v>THURS P5</x:v>
      </x:c>
      <x:c r="I181" s="601" t="str">
        <x:f>IF(E181="Extra",IF(AND(A181&lt;&gt;"",D181&lt;&gt;""),"Yes",""),IF(COUNTIF('Routine &amp; Holidays'!$M$8:$M$35,A181)&gt;0,"No",IF(D181="BECM 3204",IF(H181=Dashboard!$C$5,"Yes","No"),IF(D181="BECM 3208",IF(H181=Dashboard!$C$6,"Yes","No"),IF(D181="CE 3224",IF(H181=Dashboard!$C$7,"Yes","No"),IF(D181="BECM 3200",IF(Dashboard!$C$8="Every Week","Yes",IF(Dashboard!$C$8="Odd Weeks",IF(MOD(C181,2)=1,"Yes","No"),IF(MOD(C181,2)=0,"Yes","No"))),"Yes"))))))</x:f>
        <x:v>Yes</x:v>
      </x:c>
      <x:c r="J181" s="601"/>
      <x:c r="K181" s="601" t="str">
        <x:v>None</x:v>
      </x:c>
      <x:c r="L181" s="601"/>
      <x:c r="M181" s="601"/>
      <x:c r="N181" s="601"/>
      <x:c r="O181" s="602"/>
    </x:row>
    <x:row r="182">
      <x:c r="A182" s="580" t="n">
        <x:v>46331</x:v>
      </x:c>
      <x:c r="B182" s="581" t="str">
        <x:v>Thurs</x:v>
      </x:c>
      <x:c r="C182" s="581" t="n">
        <x:v>8</x:v>
      </x:c>
      <x:c r="D182" s="581" t="str">
        <x:v>BECM 3201</x:v>
      </x:c>
      <x:c r="E182" s="581" t="str">
        <x:v>Regular</x:v>
      </x:c>
      <x:c r="F182" s="601" t="str">
        <x:v>MR/MRA</x:v>
      </x:c>
      <x:c r="G182" s="601" t="str">
        <x:v>6th • 12:20 PM–01:10 PM • Room 406</x:v>
      </x:c>
      <x:c r="H182" s="601" t="str">
        <x:v>THURS P6</x:v>
      </x:c>
      <x:c r="I182" s="601" t="str">
        <x:f>IF(E182="Extra",IF(AND(A182&lt;&gt;"",D182&lt;&gt;""),"Yes",""),IF(COUNTIF('Routine &amp; Holidays'!$M$8:$M$35,A182)&gt;0,"No",IF(D182="BECM 3204",IF(H182=Dashboard!$C$5,"Yes","No"),IF(D182="BECM 3208",IF(H182=Dashboard!$C$6,"Yes","No"),IF(D182="CE 3224",IF(H182=Dashboard!$C$7,"Yes","No"),IF(D182="BECM 3200",IF(Dashboard!$C$8="Every Week","Yes",IF(Dashboard!$C$8="Odd Weeks",IF(MOD(C182,2)=1,"Yes","No"),IF(MOD(C182,2)=0,"Yes","No"))),"Yes"))))))</x:f>
        <x:v>Yes</x:v>
      </x:c>
      <x:c r="J182" s="601"/>
      <x:c r="K182" s="601" t="str">
        <x:v>None</x:v>
      </x:c>
      <x:c r="L182" s="601"/>
      <x:c r="M182" s="601"/>
      <x:c r="N182" s="601"/>
      <x:c r="O182" s="602"/>
    </x:row>
    <x:row r="183">
      <x:c r="A183" s="580" t="n">
        <x:v>46334</x:v>
      </x:c>
      <x:c r="B183" s="581" t="str">
        <x:v>Sun</x:v>
      </x:c>
      <x:c r="C183" s="581" t="n">
        <x:v>9</x:v>
      </x:c>
      <x:c r="D183" s="581" t="str">
        <x:v>BECM 3204</x:v>
      </x:c>
      <x:c r="E183" s="581" t="str">
        <x:v>Regular</x:v>
      </x:c>
      <x:c r="F183" s="601" t="str">
        <x:v>HRS/MR</x:v>
      </x:c>
      <x:c r="G183" s="601" t="str">
        <x:v>7-9 • 02:30 PM–05:00 PM • Room 404</x:v>
      </x:c>
      <x:c r="H183" s="601" t="str">
        <x:v>Sun PM</x:v>
      </x:c>
      <x:c r="I183" s="601" t="str">
        <x:f>IF(E183="Extra",IF(AND(A183&lt;&gt;"",D183&lt;&gt;""),"Yes",""),IF(COUNTIF('Routine &amp; Holidays'!$M$8:$M$35,A183)&gt;0,"No",IF(D183="BECM 3204",IF(H183=Dashboard!$C$5,"Yes","No"),IF(D183="BECM 3208",IF(H183=Dashboard!$C$6,"Yes","No"),IF(D183="CE 3224",IF(H183=Dashboard!$C$7,"Yes","No"),IF(D183="BECM 3200",IF(Dashboard!$C$8="Every Week","Yes",IF(Dashboard!$C$8="Odd Weeks",IF(MOD(C183,2)=1,"Yes","No"),IF(MOD(C183,2)=0,"Yes","No"))),"Yes"))))))</x:f>
        <x:v>Yes</x:v>
      </x:c>
      <x:c r="J183" s="601"/>
      <x:c r="K183" s="601" t="str">
        <x:v>None</x:v>
      </x:c>
      <x:c r="L183" s="601"/>
      <x:c r="M183" s="601"/>
      <x:c r="N183" s="601"/>
      <x:c r="O183" s="602"/>
    </x:row>
    <x:row r="184">
      <x:c r="A184" s="580" t="n">
        <x:v>46334</x:v>
      </x:c>
      <x:c r="B184" s="581" t="str">
        <x:v>Sun</x:v>
      </x:c>
      <x:c r="C184" s="581" t="n">
        <x:v>9</x:v>
      </x:c>
      <x:c r="D184" s="581" t="str">
        <x:v>CE 3213</x:v>
      </x:c>
      <x:c r="E184" s="581" t="str">
        <x:v>Regular</x:v>
      </x:c>
      <x:c r="F184" s="601" t="str">
        <x:v>HRS</x:v>
      </x:c>
      <x:c r="G184" s="601" t="str">
        <x:v>4th • 10:40 AM–11:30 AM • Room 501</x:v>
      </x:c>
      <x:c r="H184" s="601" t="str">
        <x:v>SUN P4</x:v>
      </x:c>
      <x:c r="I184" s="601" t="str">
        <x:f>IF(E184="Extra",IF(AND(A184&lt;&gt;"",D184&lt;&gt;""),"Yes",""),IF(COUNTIF('Routine &amp; Holidays'!$M$8:$M$35,A184)&gt;0,"No",IF(D184="BECM 3204",IF(H184=Dashboard!$C$5,"Yes","No"),IF(D184="BECM 3208",IF(H184=Dashboard!$C$6,"Yes","No"),IF(D184="CE 3224",IF(H184=Dashboard!$C$7,"Yes","No"),IF(D184="BECM 3200",IF(Dashboard!$C$8="Every Week","Yes",IF(Dashboard!$C$8="Odd Weeks",IF(MOD(C184,2)=1,"Yes","No"),IF(MOD(C184,2)=0,"Yes","No"))),"Yes"))))))</x:f>
        <x:v>Yes</x:v>
      </x:c>
      <x:c r="J184" s="601"/>
      <x:c r="K184" s="601" t="str">
        <x:v>None</x:v>
      </x:c>
      <x:c r="L184" s="601"/>
      <x:c r="M184" s="601"/>
      <x:c r="N184" s="601"/>
      <x:c r="O184" s="602"/>
    </x:row>
    <x:row r="185">
      <x:c r="A185" s="580" t="n">
        <x:v>46334</x:v>
      </x:c>
      <x:c r="B185" s="581" t="str">
        <x:v>Sun</x:v>
      </x:c>
      <x:c r="C185" s="581" t="n">
        <x:v>9</x:v>
      </x:c>
      <x:c r="D185" s="581" t="str">
        <x:v>CE 3223</x:v>
      </x:c>
      <x:c r="E185" s="581" t="str">
        <x:v>Regular</x:v>
      </x:c>
      <x:c r="F185" s="601" t="str">
        <x:v>MSA</x:v>
      </x:c>
      <x:c r="G185" s="601" t="str">
        <x:v>5th • 11:30 AM–12:20 PM • Room 501</x:v>
      </x:c>
      <x:c r="H185" s="601" t="str">
        <x:v>SUN P5</x:v>
      </x:c>
      <x:c r="I185" s="601" t="str">
        <x:f>IF(E185="Extra",IF(AND(A185&lt;&gt;"",D185&lt;&gt;""),"Yes",""),IF(COUNTIF('Routine &amp; Holidays'!$M$8:$M$35,A185)&gt;0,"No",IF(D185="BECM 3204",IF(H185=Dashboard!$C$5,"Yes","No"),IF(D185="BECM 3208",IF(H185=Dashboard!$C$6,"Yes","No"),IF(D185="CE 3224",IF(H185=Dashboard!$C$7,"Yes","No"),IF(D185="BECM 3200",IF(Dashboard!$C$8="Every Week","Yes",IF(Dashboard!$C$8="Odd Weeks",IF(MOD(C185,2)=1,"Yes","No"),IF(MOD(C185,2)=0,"Yes","No"))),"Yes"))))))</x:f>
        <x:v>Yes</x:v>
      </x:c>
      <x:c r="J185" s="601"/>
      <x:c r="K185" s="601" t="str">
        <x:v>None</x:v>
      </x:c>
      <x:c r="L185" s="601"/>
      <x:c r="M185" s="601"/>
      <x:c r="N185" s="601"/>
      <x:c r="O185" s="602"/>
    </x:row>
    <x:row r="186">
      <x:c r="A186" s="580" t="n">
        <x:v>46334</x:v>
      </x:c>
      <x:c r="B186" s="581" t="str">
        <x:v>Sun</x:v>
      </x:c>
      <x:c r="C186" s="581" t="n">
        <x:v>9</x:v>
      </x:c>
      <x:c r="D186" s="581" t="str">
        <x:v>CE 3211</x:v>
      </x:c>
      <x:c r="E186" s="581" t="str">
        <x:v>Regular</x:v>
      </x:c>
      <x:c r="F186" s="601" t="str">
        <x:v>MKI</x:v>
      </x:c>
      <x:c r="G186" s="601" t="str">
        <x:v>6th • 12:20 PM–01:10 PM • Room 501</x:v>
      </x:c>
      <x:c r="H186" s="601" t="str">
        <x:v>SUN P6</x:v>
      </x:c>
      <x:c r="I186" s="601" t="str">
        <x:f>IF(E186="Extra",IF(AND(A186&lt;&gt;"",D186&lt;&gt;""),"Yes",""),IF(COUNTIF('Routine &amp; Holidays'!$M$8:$M$35,A186)&gt;0,"No",IF(D186="BECM 3204",IF(H186=Dashboard!$C$5,"Yes","No"),IF(D186="BECM 3208",IF(H186=Dashboard!$C$6,"Yes","No"),IF(D186="CE 3224",IF(H186=Dashboard!$C$7,"Yes","No"),IF(D186="BECM 3200",IF(Dashboard!$C$8="Every Week","Yes",IF(Dashboard!$C$8="Odd Weeks",IF(MOD(C186,2)=1,"Yes","No"),IF(MOD(C186,2)=0,"Yes","No"))),"Yes"))))))</x:f>
        <x:v>Yes</x:v>
      </x:c>
      <x:c r="J186" s="601"/>
      <x:c r="K186" s="601" t="str">
        <x:v>None</x:v>
      </x:c>
      <x:c r="L186" s="601"/>
      <x:c r="M186" s="601"/>
      <x:c r="N186" s="601"/>
      <x:c r="O186" s="602"/>
    </x:row>
    <x:row r="187">
      <x:c r="A187" s="580" t="n">
        <x:v>46335</x:v>
      </x:c>
      <x:c r="B187" s="581" t="str">
        <x:v>Mon</x:v>
      </x:c>
      <x:c r="C187" s="581" t="n">
        <x:v>9</x:v>
      </x:c>
      <x:c r="D187" s="581" t="str">
        <x:v>BECM 3200</x:v>
      </x:c>
      <x:c r="E187" s="581" t="str">
        <x:v>Regular</x:v>
      </x:c>
      <x:c r="F187" s="601" t="str">
        <x:v>ALL</x:v>
      </x:c>
      <x:c r="G187" s="601" t="str">
        <x:v>7-9 • 02:30 PM–05:00 PM</x:v>
      </x:c>
      <x:c r="H187" s="601" t="str">
        <x:v>Mon PM</x:v>
      </x:c>
      <x:c r="I187" s="601" t="str">
        <x:f>IF(E187="Extra",IF(AND(A187&lt;&gt;"",D187&lt;&gt;""),"Yes",""),IF(COUNTIF('Routine &amp; Holidays'!$M$8:$M$35,A187)&gt;0,"No",IF(D187="BECM 3204",IF(H187=Dashboard!$C$5,"Yes","No"),IF(D187="BECM 3208",IF(H187=Dashboard!$C$6,"Yes","No"),IF(D187="CE 3224",IF(H187=Dashboard!$C$7,"Yes","No"),IF(D187="BECM 3200",IF(Dashboard!$C$8="Every Week","Yes",IF(Dashboard!$C$8="Odd Weeks",IF(MOD(C187,2)=1,"Yes","No"),IF(MOD(C187,2)=0,"Yes","No"))),"Yes"))))))</x:f>
        <x:v>Yes</x:v>
      </x:c>
      <x:c r="J187" s="601"/>
      <x:c r="K187" s="601" t="str">
        <x:v>None</x:v>
      </x:c>
      <x:c r="L187" s="601"/>
      <x:c r="M187" s="601"/>
      <x:c r="N187" s="601"/>
      <x:c r="O187" s="602"/>
    </x:row>
    <x:row r="188">
      <x:c r="A188" s="580" t="n">
        <x:v>46335</x:v>
      </x:c>
      <x:c r="B188" s="581" t="str">
        <x:v>Mon</x:v>
      </x:c>
      <x:c r="C188" s="581" t="n">
        <x:v>9</x:v>
      </x:c>
      <x:c r="D188" s="581" t="str">
        <x:v>CE 3223</x:v>
      </x:c>
      <x:c r="E188" s="581" t="str">
        <x:v>Regular</x:v>
      </x:c>
      <x:c r="F188" s="601" t="str">
        <x:v>MHI/MSA</x:v>
      </x:c>
      <x:c r="G188" s="601" t="str">
        <x:v>3rd • 09:40 AM–10:30 AM • Room 404</x:v>
      </x:c>
      <x:c r="H188" s="601" t="str">
        <x:v>MON P3</x:v>
      </x:c>
      <x:c r="I188" s="601" t="str">
        <x:f>IF(E188="Extra",IF(AND(A188&lt;&gt;"",D188&lt;&gt;""),"Yes",""),IF(COUNTIF('Routine &amp; Holidays'!$M$8:$M$35,A188)&gt;0,"No",IF(D188="BECM 3204",IF(H188=Dashboard!$C$5,"Yes","No"),IF(D188="BECM 3208",IF(H188=Dashboard!$C$6,"Yes","No"),IF(D188="CE 3224",IF(H188=Dashboard!$C$7,"Yes","No"),IF(D188="BECM 3200",IF(Dashboard!$C$8="Every Week","Yes",IF(Dashboard!$C$8="Odd Weeks",IF(MOD(C188,2)=1,"Yes","No"),IF(MOD(C188,2)=0,"Yes","No"))),"Yes"))))))</x:f>
        <x:v>Yes</x:v>
      </x:c>
      <x:c r="J188" s="601"/>
      <x:c r="K188" s="601" t="str">
        <x:v>None</x:v>
      </x:c>
      <x:c r="L188" s="601"/>
      <x:c r="M188" s="601"/>
      <x:c r="N188" s="601"/>
      <x:c r="O188" s="602"/>
    </x:row>
    <x:row r="189">
      <x:c r="A189" s="580" t="n">
        <x:v>46335</x:v>
      </x:c>
      <x:c r="B189" s="581" t="str">
        <x:v>Mon</x:v>
      </x:c>
      <x:c r="C189" s="581" t="n">
        <x:v>9</x:v>
      </x:c>
      <x:c r="D189" s="581" t="str">
        <x:v>BECM 3201</x:v>
      </x:c>
      <x:c r="E189" s="581" t="str">
        <x:v>Regular</x:v>
      </x:c>
      <x:c r="F189" s="601" t="str">
        <x:v>MR</x:v>
      </x:c>
      <x:c r="G189" s="601" t="str">
        <x:v>5th • 11:30 AM–12:20 PM • Room 405</x:v>
      </x:c>
      <x:c r="H189" s="601" t="str">
        <x:v>MON P5</x:v>
      </x:c>
      <x:c r="I189" s="601" t="str">
        <x:f>IF(E189="Extra",IF(AND(A189&lt;&gt;"",D189&lt;&gt;""),"Yes",""),IF(COUNTIF('Routine &amp; Holidays'!$M$8:$M$35,A189)&gt;0,"No",IF(D189="BECM 3204",IF(H189=Dashboard!$C$5,"Yes","No"),IF(D189="BECM 3208",IF(H189=Dashboard!$C$6,"Yes","No"),IF(D189="CE 3224",IF(H189=Dashboard!$C$7,"Yes","No"),IF(D189="BECM 3200",IF(Dashboard!$C$8="Every Week","Yes",IF(Dashboard!$C$8="Odd Weeks",IF(MOD(C189,2)=1,"Yes","No"),IF(MOD(C189,2)=0,"Yes","No"))),"Yes"))))))</x:f>
        <x:v>Yes</x:v>
      </x:c>
      <x:c r="J189" s="601"/>
      <x:c r="K189" s="601" t="str">
        <x:v>None</x:v>
      </x:c>
      <x:c r="L189" s="601"/>
      <x:c r="M189" s="601"/>
      <x:c r="N189" s="601"/>
      <x:c r="O189" s="602"/>
    </x:row>
    <x:row r="190">
      <x:c r="A190" s="580" t="n">
        <x:v>46335</x:v>
      </x:c>
      <x:c r="B190" s="581" t="str">
        <x:v>Mon</x:v>
      </x:c>
      <x:c r="C190" s="581" t="n">
        <x:v>9</x:v>
      </x:c>
      <x:c r="D190" s="581" t="str">
        <x:v>BECM 3205</x:v>
      </x:c>
      <x:c r="E190" s="581" t="str">
        <x:v>Regular</x:v>
      </x:c>
      <x:c r="F190" s="601" t="str">
        <x:v>AAM</x:v>
      </x:c>
      <x:c r="G190" s="601" t="str">
        <x:v>6th • 12:20 PM–01:10 PM • Room 405</x:v>
      </x:c>
      <x:c r="H190" s="601" t="str">
        <x:v>MON P6</x:v>
      </x:c>
      <x:c r="I190" s="601" t="str">
        <x:f>IF(E190="Extra",IF(AND(A190&lt;&gt;"",D190&lt;&gt;""),"Yes",""),IF(COUNTIF('Routine &amp; Holidays'!$M$8:$M$35,A190)&gt;0,"No",IF(D190="BECM 3204",IF(H190=Dashboard!$C$5,"Yes","No"),IF(D190="BECM 3208",IF(H190=Dashboard!$C$6,"Yes","No"),IF(D190="CE 3224",IF(H190=Dashboard!$C$7,"Yes","No"),IF(D190="BECM 3200",IF(Dashboard!$C$8="Every Week","Yes",IF(Dashboard!$C$8="Odd Weeks",IF(MOD(C190,2)=1,"Yes","No"),IF(MOD(C190,2)=0,"Yes","No"))),"Yes"))))))</x:f>
        <x:v>Yes</x:v>
      </x:c>
      <x:c r="J190" s="601"/>
      <x:c r="K190" s="601" t="str">
        <x:v>None</x:v>
      </x:c>
      <x:c r="L190" s="601"/>
      <x:c r="M190" s="601"/>
      <x:c r="N190" s="601"/>
      <x:c r="O190" s="602"/>
    </x:row>
    <x:row r="191">
      <x:c r="A191" s="580" t="n">
        <x:v>46336</x:v>
      </x:c>
      <x:c r="B191" s="581" t="str">
        <x:v>Tues</x:v>
      </x:c>
      <x:c r="C191" s="581" t="n">
        <x:v>9</x:v>
      </x:c>
      <x:c r="D191" s="581" t="str">
        <x:v>BECM 3208</x:v>
      </x:c>
      <x:c r="E191" s="581" t="str">
        <x:v>Regular</x:v>
      </x:c>
      <x:c r="F191" s="601" t="str">
        <x:v>MSH/MSA</x:v>
      </x:c>
      <x:c r="G191" s="601" t="str">
        <x:v>7-9 • 02:30 PM–05:00 PM</x:v>
      </x:c>
      <x:c r="H191" s="601" t="str">
        <x:v>Tue PM</x:v>
      </x:c>
      <x:c r="I191" s="601" t="str">
        <x:f>IF(E191="Extra",IF(AND(A191&lt;&gt;"",D191&lt;&gt;""),"Yes",""),IF(COUNTIF('Routine &amp; Holidays'!$M$8:$M$35,A191)&gt;0,"No",IF(D191="BECM 3204",IF(H191=Dashboard!$C$5,"Yes","No"),IF(D191="BECM 3208",IF(H191=Dashboard!$C$6,"Yes","No"),IF(D191="CE 3224",IF(H191=Dashboard!$C$7,"Yes","No"),IF(D191="BECM 3200",IF(Dashboard!$C$8="Every Week","Yes",IF(Dashboard!$C$8="Odd Weeks",IF(MOD(C191,2)=1,"Yes","No"),IF(MOD(C191,2)=0,"Yes","No"))),"Yes"))))))</x:f>
        <x:v>Yes</x:v>
      </x:c>
      <x:c r="J191" s="601"/>
      <x:c r="K191" s="601" t="str">
        <x:v>None</x:v>
      </x:c>
      <x:c r="L191" s="601"/>
      <x:c r="M191" s="601"/>
      <x:c r="N191" s="601"/>
      <x:c r="O191" s="602"/>
    </x:row>
    <x:row r="192">
      <x:c r="A192" s="580" t="n">
        <x:v>46336</x:v>
      </x:c>
      <x:c r="B192" s="581" t="str">
        <x:v>Tues</x:v>
      </x:c>
      <x:c r="C192" s="581" t="n">
        <x:v>9</x:v>
      </x:c>
      <x:c r="D192" s="581" t="str">
        <x:v>CE 3224</x:v>
      </x:c>
      <x:c r="E192" s="581" t="str">
        <x:v>Regular</x:v>
      </x:c>
      <x:c r="F192" s="601" t="str">
        <x:v>MHI/MRA</x:v>
      </x:c>
      <x:c r="G192" s="601" t="str">
        <x:v>1-3 • 08:00 AM–10:30 AM</x:v>
      </x:c>
      <x:c r="H192" s="601" t="str">
        <x:v>Tue AM</x:v>
      </x:c>
      <x:c r="I192" s="601" t="str">
        <x:f>IF(E192="Extra",IF(AND(A192&lt;&gt;"",D192&lt;&gt;""),"Yes",""),IF(COUNTIF('Routine &amp; Holidays'!$M$8:$M$35,A192)&gt;0,"No",IF(D192="BECM 3204",IF(H192=Dashboard!$C$5,"Yes","No"),IF(D192="BECM 3208",IF(H192=Dashboard!$C$6,"Yes","No"),IF(D192="CE 3224",IF(H192=Dashboard!$C$7,"Yes","No"),IF(D192="BECM 3200",IF(Dashboard!$C$8="Every Week","Yes",IF(Dashboard!$C$8="Odd Weeks",IF(MOD(C192,2)=1,"Yes","No"),IF(MOD(C192,2)=0,"Yes","No"))),"Yes"))))))</x:f>
        <x:v>Yes</x:v>
      </x:c>
      <x:c r="J192" s="601"/>
      <x:c r="K192" s="601" t="str">
        <x:v>None</x:v>
      </x:c>
      <x:c r="L192" s="601"/>
      <x:c r="M192" s="601"/>
      <x:c r="N192" s="601"/>
      <x:c r="O192" s="602"/>
    </x:row>
    <x:row r="193">
      <x:c r="A193" s="580" t="n">
        <x:v>46336</x:v>
      </x:c>
      <x:c r="B193" s="581" t="str">
        <x:v>Tues</x:v>
      </x:c>
      <x:c r="C193" s="581" t="n">
        <x:v>9</x:v>
      </x:c>
      <x:c r="D193" s="581" t="str">
        <x:v>CE 3213</x:v>
      </x:c>
      <x:c r="E193" s="581" t="str">
        <x:v>Regular</x:v>
      </x:c>
      <x:c r="F193" s="601" t="str">
        <x:v>MKI</x:v>
      </x:c>
      <x:c r="G193" s="601" t="str">
        <x:v>5th • 11:30 AM–12:20 PM • Room 405</x:v>
      </x:c>
      <x:c r="H193" s="601" t="str">
        <x:v>TUES P5</x:v>
      </x:c>
      <x:c r="I193" s="601" t="str">
        <x:f>IF(E193="Extra",IF(AND(A193&lt;&gt;"",D193&lt;&gt;""),"Yes",""),IF(COUNTIF('Routine &amp; Holidays'!$M$8:$M$35,A193)&gt;0,"No",IF(D193="BECM 3204",IF(H193=Dashboard!$C$5,"Yes","No"),IF(D193="BECM 3208",IF(H193=Dashboard!$C$6,"Yes","No"),IF(D193="CE 3224",IF(H193=Dashboard!$C$7,"Yes","No"),IF(D193="BECM 3200",IF(Dashboard!$C$8="Every Week","Yes",IF(Dashboard!$C$8="Odd Weeks",IF(MOD(C193,2)=1,"Yes","No"),IF(MOD(C193,2)=0,"Yes","No"))),"Yes"))))))</x:f>
        <x:v>Yes</x:v>
      </x:c>
      <x:c r="J193" s="601"/>
      <x:c r="K193" s="601" t="str">
        <x:v>None</x:v>
      </x:c>
      <x:c r="L193" s="601"/>
      <x:c r="M193" s="601"/>
      <x:c r="N193" s="601"/>
      <x:c r="O193" s="602"/>
    </x:row>
    <x:row r="194">
      <x:c r="A194" s="580" t="n">
        <x:v>46336</x:v>
      </x:c>
      <x:c r="B194" s="581" t="str">
        <x:v>Tues</x:v>
      </x:c>
      <x:c r="C194" s="581" t="n">
        <x:v>9</x:v>
      </x:c>
      <x:c r="D194" s="581" t="str">
        <x:v>BECM 3201</x:v>
      </x:c>
      <x:c r="E194" s="581" t="str">
        <x:v>Regular</x:v>
      </x:c>
      <x:c r="F194" s="601" t="str">
        <x:v>MRA</x:v>
      </x:c>
      <x:c r="G194" s="601" t="str">
        <x:v>6th • 12:20 PM–01:10 PM • Room 405</x:v>
      </x:c>
      <x:c r="H194" s="601" t="str">
        <x:v>TUES P6</x:v>
      </x:c>
      <x:c r="I194" s="601" t="str">
        <x:f>IF(E194="Extra",IF(AND(A194&lt;&gt;"",D194&lt;&gt;""),"Yes",""),IF(COUNTIF('Routine &amp; Holidays'!$M$8:$M$35,A194)&gt;0,"No",IF(D194="BECM 3204",IF(H194=Dashboard!$C$5,"Yes","No"),IF(D194="BECM 3208",IF(H194=Dashboard!$C$6,"Yes","No"),IF(D194="CE 3224",IF(H194=Dashboard!$C$7,"Yes","No"),IF(D194="BECM 3200",IF(Dashboard!$C$8="Every Week","Yes",IF(Dashboard!$C$8="Odd Weeks",IF(MOD(C194,2)=1,"Yes","No"),IF(MOD(C194,2)=0,"Yes","No"))),"Yes"))))))</x:f>
        <x:v>Yes</x:v>
      </x:c>
      <x:c r="J194" s="601"/>
      <x:c r="K194" s="601" t="str">
        <x:v>None</x:v>
      </x:c>
      <x:c r="L194" s="601"/>
      <x:c r="M194" s="601"/>
      <x:c r="N194" s="601"/>
      <x:c r="O194" s="602"/>
    </x:row>
    <x:row r="195">
      <x:c r="A195" s="580" t="n">
        <x:v>46337</x:v>
      </x:c>
      <x:c r="B195" s="581" t="str">
        <x:v>Wed</x:v>
      </x:c>
      <x:c r="C195" s="581" t="n">
        <x:v>9</x:v>
      </x:c>
      <x:c r="D195" s="581" t="str">
        <x:v>BECM 3208</x:v>
      </x:c>
      <x:c r="E195" s="581" t="str">
        <x:v>Regular</x:v>
      </x:c>
      <x:c r="F195" s="601" t="str">
        <x:v>MSH/MSA</x:v>
      </x:c>
      <x:c r="G195" s="601" t="str">
        <x:v>7-9 • 02:30 PM–05:00 PM • Room 501</x:v>
      </x:c>
      <x:c r="H195" s="601" t="str">
        <x:v>Wed PM</x:v>
      </x:c>
      <x:c r="I195" s="601" t="str">
        <x:f>IF(E195="Extra",IF(AND(A195&lt;&gt;"",D195&lt;&gt;""),"Yes",""),IF(COUNTIF('Routine &amp; Holidays'!$M$8:$M$35,A195)&gt;0,"No",IF(D195="BECM 3204",IF(H195=Dashboard!$C$5,"Yes","No"),IF(D195="BECM 3208",IF(H195=Dashboard!$C$6,"Yes","No"),IF(D195="CE 3224",IF(H195=Dashboard!$C$7,"Yes","No"),IF(D195="BECM 3200",IF(Dashboard!$C$8="Every Week","Yes",IF(Dashboard!$C$8="Odd Weeks",IF(MOD(C195,2)=1,"Yes","No"),IF(MOD(C195,2)=0,"Yes","No"))),"Yes"))))))</x:f>
        <x:v>No</x:v>
      </x:c>
      <x:c r="J195" s="601"/>
      <x:c r="K195" s="601" t="str">
        <x:v>None</x:v>
      </x:c>
      <x:c r="L195" s="601"/>
      <x:c r="M195" s="601"/>
      <x:c r="N195" s="601"/>
      <x:c r="O195" s="602"/>
    </x:row>
    <x:row r="196">
      <x:c r="A196" s="580" t="n">
        <x:v>46337</x:v>
      </x:c>
      <x:c r="B196" s="581" t="str">
        <x:v>Wed</x:v>
      </x:c>
      <x:c r="C196" s="581" t="n">
        <x:v>9</x:v>
      </x:c>
      <x:c r="D196" s="581" t="str">
        <x:v>CE 3213</x:v>
      </x:c>
      <x:c r="E196" s="581" t="str">
        <x:v>Regular</x:v>
      </x:c>
      <x:c r="F196" s="601" t="str">
        <x:v>HRS/MKI</x:v>
      </x:c>
      <x:c r="G196" s="601" t="str">
        <x:v>3rd • 09:40 AM–10:30 AM • Room 501</x:v>
      </x:c>
      <x:c r="H196" s="601" t="str">
        <x:v>WED P3</x:v>
      </x:c>
      <x:c r="I196" s="601" t="str">
        <x:f>IF(E196="Extra",IF(AND(A196&lt;&gt;"",D196&lt;&gt;""),"Yes",""),IF(COUNTIF('Routine &amp; Holidays'!$M$8:$M$35,A196)&gt;0,"No",IF(D196="BECM 3204",IF(H196=Dashboard!$C$5,"Yes","No"),IF(D196="BECM 3208",IF(H196=Dashboard!$C$6,"Yes","No"),IF(D196="CE 3224",IF(H196=Dashboard!$C$7,"Yes","No"),IF(D196="BECM 3200",IF(Dashboard!$C$8="Every Week","Yes",IF(Dashboard!$C$8="Odd Weeks",IF(MOD(C196,2)=1,"Yes","No"),IF(MOD(C196,2)=0,"Yes","No"))),"Yes"))))))</x:f>
        <x:v>Yes</x:v>
      </x:c>
      <x:c r="J196" s="601"/>
      <x:c r="K196" s="601" t="str">
        <x:v>None</x:v>
      </x:c>
      <x:c r="L196" s="601"/>
      <x:c r="M196" s="601"/>
      <x:c r="N196" s="601"/>
      <x:c r="O196" s="602"/>
    </x:row>
    <x:row r="197">
      <x:c r="A197" s="580" t="n">
        <x:v>46337</x:v>
      </x:c>
      <x:c r="B197" s="581" t="str">
        <x:v>Wed</x:v>
      </x:c>
      <x:c r="C197" s="581" t="n">
        <x:v>9</x:v>
      </x:c>
      <x:c r="D197" s="581" t="str">
        <x:v>CE 3211</x:v>
      </x:c>
      <x:c r="E197" s="581" t="str">
        <x:v>Regular</x:v>
      </x:c>
      <x:c r="F197" s="601" t="str">
        <x:v>ATB</x:v>
      </x:c>
      <x:c r="G197" s="601" t="str">
        <x:v>4th • 10:40 AM–11:30 AM • Room 501</x:v>
      </x:c>
      <x:c r="H197" s="601" t="str">
        <x:v>WED P4</x:v>
      </x:c>
      <x:c r="I197" s="601" t="str">
        <x:f>IF(E197="Extra",IF(AND(A197&lt;&gt;"",D197&lt;&gt;""),"Yes",""),IF(COUNTIF('Routine &amp; Holidays'!$M$8:$M$35,A197)&gt;0,"No",IF(D197="BECM 3204",IF(H197=Dashboard!$C$5,"Yes","No"),IF(D197="BECM 3208",IF(H197=Dashboard!$C$6,"Yes","No"),IF(D197="CE 3224",IF(H197=Dashboard!$C$7,"Yes","No"),IF(D197="BECM 3200",IF(Dashboard!$C$8="Every Week","Yes",IF(Dashboard!$C$8="Odd Weeks",IF(MOD(C197,2)=1,"Yes","No"),IF(MOD(C197,2)=0,"Yes","No"))),"Yes"))))))</x:f>
        <x:v>Yes</x:v>
      </x:c>
      <x:c r="J197" s="601"/>
      <x:c r="K197" s="601" t="str">
        <x:v>None</x:v>
      </x:c>
      <x:c r="L197" s="601"/>
      <x:c r="M197" s="601"/>
      <x:c r="N197" s="601"/>
      <x:c r="O197" s="602"/>
    </x:row>
    <x:row r="198">
      <x:c r="A198" s="580" t="n">
        <x:v>46337</x:v>
      </x:c>
      <x:c r="B198" s="581" t="str">
        <x:v>Wed</x:v>
      </x:c>
      <x:c r="C198" s="581" t="n">
        <x:v>9</x:v>
      </x:c>
      <x:c r="D198" s="581" t="str">
        <x:v>CE 3223</x:v>
      </x:c>
      <x:c r="E198" s="581" t="str">
        <x:v>Regular</x:v>
      </x:c>
      <x:c r="F198" s="601" t="str">
        <x:v>MHI</x:v>
      </x:c>
      <x:c r="G198" s="601" t="str">
        <x:v>5th • 11:30 AM–12:20 PM • Room 501</x:v>
      </x:c>
      <x:c r="H198" s="601" t="str">
        <x:v>WED P5</x:v>
      </x:c>
      <x:c r="I198" s="601" t="str">
        <x:f>IF(E198="Extra",IF(AND(A198&lt;&gt;"",D198&lt;&gt;""),"Yes",""),IF(COUNTIF('Routine &amp; Holidays'!$M$8:$M$35,A198)&gt;0,"No",IF(D198="BECM 3204",IF(H198=Dashboard!$C$5,"Yes","No"),IF(D198="BECM 3208",IF(H198=Dashboard!$C$6,"Yes","No"),IF(D198="CE 3224",IF(H198=Dashboard!$C$7,"Yes","No"),IF(D198="BECM 3200",IF(Dashboard!$C$8="Every Week","Yes",IF(Dashboard!$C$8="Odd Weeks",IF(MOD(C198,2)=1,"Yes","No"),IF(MOD(C198,2)=0,"Yes","No"))),"Yes"))))))</x:f>
        <x:v>Yes</x:v>
      </x:c>
      <x:c r="J198" s="601"/>
      <x:c r="K198" s="601" t="str">
        <x:v>None</x:v>
      </x:c>
      <x:c r="L198" s="601"/>
      <x:c r="M198" s="601"/>
      <x:c r="N198" s="601"/>
      <x:c r="O198" s="602"/>
    </x:row>
    <x:row r="199">
      <x:c r="A199" s="580" t="n">
        <x:v>46337</x:v>
      </x:c>
      <x:c r="B199" s="581" t="str">
        <x:v>Wed</x:v>
      </x:c>
      <x:c r="C199" s="581" t="n">
        <x:v>9</x:v>
      </x:c>
      <x:c r="D199" s="581" t="str">
        <x:v>BECM 3205</x:v>
      </x:c>
      <x:c r="E199" s="581" t="str">
        <x:v>Regular</x:v>
      </x:c>
      <x:c r="F199" s="601" t="str">
        <x:v>MSH/AAM</x:v>
      </x:c>
      <x:c r="G199" s="601" t="str">
        <x:v>6th • 12:20 PM–01:10 PM • Room 501</x:v>
      </x:c>
      <x:c r="H199" s="601" t="str">
        <x:v>WED P6</x:v>
      </x:c>
      <x:c r="I199" s="601" t="str">
        <x:f>IF(E199="Extra",IF(AND(A199&lt;&gt;"",D199&lt;&gt;""),"Yes",""),IF(COUNTIF('Routine &amp; Holidays'!$M$8:$M$35,A199)&gt;0,"No",IF(D199="BECM 3204",IF(H199=Dashboard!$C$5,"Yes","No"),IF(D199="BECM 3208",IF(H199=Dashboard!$C$6,"Yes","No"),IF(D199="CE 3224",IF(H199=Dashboard!$C$7,"Yes","No"),IF(D199="BECM 3200",IF(Dashboard!$C$8="Every Week","Yes",IF(Dashboard!$C$8="Odd Weeks",IF(MOD(C199,2)=1,"Yes","No"),IF(MOD(C199,2)=0,"Yes","No"))),"Yes"))))))</x:f>
        <x:v>Yes</x:v>
      </x:c>
      <x:c r="J199" s="601"/>
      <x:c r="K199" s="601" t="str">
        <x:v>None</x:v>
      </x:c>
      <x:c r="L199" s="601"/>
      <x:c r="M199" s="601"/>
      <x:c r="N199" s="601"/>
      <x:c r="O199" s="602"/>
    </x:row>
    <x:row r="200">
      <x:c r="A200" s="580" t="n">
        <x:v>46338</x:v>
      </x:c>
      <x:c r="B200" s="581" t="str">
        <x:v>Thurs</x:v>
      </x:c>
      <x:c r="C200" s="581" t="n">
        <x:v>9</x:v>
      </x:c>
      <x:c r="D200" s="581" t="str">
        <x:v>CE 3224</x:v>
      </x:c>
      <x:c r="E200" s="581" t="str">
        <x:v>Regular</x:v>
      </x:c>
      <x:c r="F200" s="601" t="str">
        <x:v>MHI/MRA</x:v>
      </x:c>
      <x:c r="G200" s="601" t="str">
        <x:v>7-9 • 02:30 PM–05:00 PM • Room 405</x:v>
      </x:c>
      <x:c r="H200" s="601" t="str">
        <x:v>Thu PM</x:v>
      </x:c>
      <x:c r="I200" s="601" t="str">
        <x:f>IF(E200="Extra",IF(AND(A200&lt;&gt;"",D200&lt;&gt;""),"Yes",""),IF(COUNTIF('Routine &amp; Holidays'!$M$8:$M$35,A200)&gt;0,"No",IF(D200="BECM 3204",IF(H200=Dashboard!$C$5,"Yes","No"),IF(D200="BECM 3208",IF(H200=Dashboard!$C$6,"Yes","No"),IF(D200="CE 3224",IF(H200=Dashboard!$C$7,"Yes","No"),IF(D200="BECM 3200",IF(Dashboard!$C$8="Every Week","Yes",IF(Dashboard!$C$8="Odd Weeks",IF(MOD(C200,2)=1,"Yes","No"),IF(MOD(C200,2)=0,"Yes","No"))),"Yes"))))))</x:f>
        <x:v>No</x:v>
      </x:c>
      <x:c r="J200" s="601"/>
      <x:c r="K200" s="601" t="str">
        <x:v>None</x:v>
      </x:c>
      <x:c r="L200" s="601"/>
      <x:c r="M200" s="601"/>
      <x:c r="N200" s="601"/>
      <x:c r="O200" s="602"/>
    </x:row>
    <x:row r="201">
      <x:c r="A201" s="580" t="n">
        <x:v>46338</x:v>
      </x:c>
      <x:c r="B201" s="581" t="str">
        <x:v>Thurs</x:v>
      </x:c>
      <x:c r="C201" s="581" t="n">
        <x:v>9</x:v>
      </x:c>
      <x:c r="D201" s="581" t="str">
        <x:v>BECM 3204</x:v>
      </x:c>
      <x:c r="E201" s="581" t="str">
        <x:v>Regular</x:v>
      </x:c>
      <x:c r="F201" s="601" t="str">
        <x:v>HRS/MR</x:v>
      </x:c>
      <x:c r="G201" s="601" t="str">
        <x:v>1-3 • 08:00 AM–10:30 AM</x:v>
      </x:c>
      <x:c r="H201" s="601" t="str">
        <x:v>Thu AM</x:v>
      </x:c>
      <x:c r="I201" s="601" t="str">
        <x:f>IF(E201="Extra",IF(AND(A201&lt;&gt;"",D201&lt;&gt;""),"Yes",""),IF(COUNTIF('Routine &amp; Holidays'!$M$8:$M$35,A201)&gt;0,"No",IF(D201="BECM 3204",IF(H201=Dashboard!$C$5,"Yes","No"),IF(D201="BECM 3208",IF(H201=Dashboard!$C$6,"Yes","No"),IF(D201="CE 3224",IF(H201=Dashboard!$C$7,"Yes","No"),IF(D201="BECM 3200",IF(Dashboard!$C$8="Every Week","Yes",IF(Dashboard!$C$8="Odd Weeks",IF(MOD(C201,2)=1,"Yes","No"),IF(MOD(C201,2)=0,"Yes","No"))),"Yes"))))))</x:f>
        <x:v>No</x:v>
      </x:c>
      <x:c r="J201" s="601"/>
      <x:c r="K201" s="601" t="str">
        <x:v>None</x:v>
      </x:c>
      <x:c r="L201" s="601"/>
      <x:c r="M201" s="601"/>
      <x:c r="N201" s="601"/>
      <x:c r="O201" s="602"/>
    </x:row>
    <x:row r="202">
      <x:c r="A202" s="580" t="n">
        <x:v>46338</x:v>
      </x:c>
      <x:c r="B202" s="581" t="str">
        <x:v>Thurs</x:v>
      </x:c>
      <x:c r="C202" s="581" t="n">
        <x:v>9</x:v>
      </x:c>
      <x:c r="D202" s="581" t="str">
        <x:v>BECM 3205</x:v>
      </x:c>
      <x:c r="E202" s="581" t="str">
        <x:v>Regular</x:v>
      </x:c>
      <x:c r="F202" s="601" t="str">
        <x:v>MSH</x:v>
      </x:c>
      <x:c r="G202" s="601" t="str">
        <x:v>4th • 10:40 AM–11:30 AM • Room 406</x:v>
      </x:c>
      <x:c r="H202" s="601" t="str">
        <x:v>THURS P4</x:v>
      </x:c>
      <x:c r="I202" s="601" t="str">
        <x:f>IF(E202="Extra",IF(AND(A202&lt;&gt;"",D202&lt;&gt;""),"Yes",""),IF(COUNTIF('Routine &amp; Holidays'!$M$8:$M$35,A202)&gt;0,"No",IF(D202="BECM 3204",IF(H202=Dashboard!$C$5,"Yes","No"),IF(D202="BECM 3208",IF(H202=Dashboard!$C$6,"Yes","No"),IF(D202="CE 3224",IF(H202=Dashboard!$C$7,"Yes","No"),IF(D202="BECM 3200",IF(Dashboard!$C$8="Every Week","Yes",IF(Dashboard!$C$8="Odd Weeks",IF(MOD(C202,2)=1,"Yes","No"),IF(MOD(C202,2)=0,"Yes","No"))),"Yes"))))))</x:f>
        <x:v>Yes</x:v>
      </x:c>
      <x:c r="J202" s="601"/>
      <x:c r="K202" s="601" t="str">
        <x:v>None</x:v>
      </x:c>
      <x:c r="L202" s="601"/>
      <x:c r="M202" s="601"/>
      <x:c r="N202" s="601"/>
      <x:c r="O202" s="602"/>
    </x:row>
    <x:row r="203">
      <x:c r="A203" s="580" t="n">
        <x:v>46338</x:v>
      </x:c>
      <x:c r="B203" s="581" t="str">
        <x:v>Thurs</x:v>
      </x:c>
      <x:c r="C203" s="581" t="n">
        <x:v>9</x:v>
      </x:c>
      <x:c r="D203" s="581" t="str">
        <x:v>CE 3211</x:v>
      </x:c>
      <x:c r="E203" s="581" t="str">
        <x:v>Regular</x:v>
      </x:c>
      <x:c r="F203" s="601" t="str">
        <x:v>MKI/ATB</x:v>
      </x:c>
      <x:c r="G203" s="601" t="str">
        <x:v>5th • 11:30 AM–12:20 PM • Room 406</x:v>
      </x:c>
      <x:c r="H203" s="601" t="str">
        <x:v>THURS P5</x:v>
      </x:c>
      <x:c r="I203" s="601" t="str">
        <x:f>IF(E203="Extra",IF(AND(A203&lt;&gt;"",D203&lt;&gt;""),"Yes",""),IF(COUNTIF('Routine &amp; Holidays'!$M$8:$M$35,A203)&gt;0,"No",IF(D203="BECM 3204",IF(H203=Dashboard!$C$5,"Yes","No"),IF(D203="BECM 3208",IF(H203=Dashboard!$C$6,"Yes","No"),IF(D203="CE 3224",IF(H203=Dashboard!$C$7,"Yes","No"),IF(D203="BECM 3200",IF(Dashboard!$C$8="Every Week","Yes",IF(Dashboard!$C$8="Odd Weeks",IF(MOD(C203,2)=1,"Yes","No"),IF(MOD(C203,2)=0,"Yes","No"))),"Yes"))))))</x:f>
        <x:v>Yes</x:v>
      </x:c>
      <x:c r="J203" s="601"/>
      <x:c r="K203" s="601" t="str">
        <x:v>None</x:v>
      </x:c>
      <x:c r="L203" s="601"/>
      <x:c r="M203" s="601"/>
      <x:c r="N203" s="601"/>
      <x:c r="O203" s="602"/>
    </x:row>
    <x:row r="204">
      <x:c r="A204" s="580" t="n">
        <x:v>46338</x:v>
      </x:c>
      <x:c r="B204" s="581" t="str">
        <x:v>Thurs</x:v>
      </x:c>
      <x:c r="C204" s="581" t="n">
        <x:v>9</x:v>
      </x:c>
      <x:c r="D204" s="581" t="str">
        <x:v>BECM 3201</x:v>
      </x:c>
      <x:c r="E204" s="581" t="str">
        <x:v>Regular</x:v>
      </x:c>
      <x:c r="F204" s="601" t="str">
        <x:v>MR/MRA</x:v>
      </x:c>
      <x:c r="G204" s="601" t="str">
        <x:v>6th • 12:20 PM–01:10 PM • Room 406</x:v>
      </x:c>
      <x:c r="H204" s="601" t="str">
        <x:v>THURS P6</x:v>
      </x:c>
      <x:c r="I204" s="601" t="str">
        <x:f>IF(E204="Extra",IF(AND(A204&lt;&gt;"",D204&lt;&gt;""),"Yes",""),IF(COUNTIF('Routine &amp; Holidays'!$M$8:$M$35,A204)&gt;0,"No",IF(D204="BECM 3204",IF(H204=Dashboard!$C$5,"Yes","No"),IF(D204="BECM 3208",IF(H204=Dashboard!$C$6,"Yes","No"),IF(D204="CE 3224",IF(H204=Dashboard!$C$7,"Yes","No"),IF(D204="BECM 3200",IF(Dashboard!$C$8="Every Week","Yes",IF(Dashboard!$C$8="Odd Weeks",IF(MOD(C204,2)=1,"Yes","No"),IF(MOD(C204,2)=0,"Yes","No"))),"Yes"))))))</x:f>
        <x:v>Yes</x:v>
      </x:c>
      <x:c r="J204" s="601"/>
      <x:c r="K204" s="601" t="str">
        <x:v>None</x:v>
      </x:c>
      <x:c r="L204" s="601"/>
      <x:c r="M204" s="601"/>
      <x:c r="N204" s="601"/>
      <x:c r="O204" s="602"/>
    </x:row>
    <x:row r="205">
      <x:c r="A205" s="580" t="n">
        <x:v>46341</x:v>
      </x:c>
      <x:c r="B205" s="581" t="str">
        <x:v>Sun</x:v>
      </x:c>
      <x:c r="C205" s="581" t="n">
        <x:v>10</x:v>
      </x:c>
      <x:c r="D205" s="581" t="str">
        <x:v>BECM 3204</x:v>
      </x:c>
      <x:c r="E205" s="581" t="str">
        <x:v>Regular</x:v>
      </x:c>
      <x:c r="F205" s="601" t="str">
        <x:v>HRS/MR</x:v>
      </x:c>
      <x:c r="G205" s="601" t="str">
        <x:v>7-9 • 02:30 PM–05:00 PM • Room 404</x:v>
      </x:c>
      <x:c r="H205" s="601" t="str">
        <x:v>Sun PM</x:v>
      </x:c>
      <x:c r="I205" s="601" t="str">
        <x:f>IF(E205="Extra",IF(AND(A205&lt;&gt;"",D205&lt;&gt;""),"Yes",""),IF(COUNTIF('Routine &amp; Holidays'!$M$8:$M$35,A205)&gt;0,"No",IF(D205="BECM 3204",IF(H205=Dashboard!$C$5,"Yes","No"),IF(D205="BECM 3208",IF(H205=Dashboard!$C$6,"Yes","No"),IF(D205="CE 3224",IF(H205=Dashboard!$C$7,"Yes","No"),IF(D205="BECM 3200",IF(Dashboard!$C$8="Every Week","Yes",IF(Dashboard!$C$8="Odd Weeks",IF(MOD(C205,2)=1,"Yes","No"),IF(MOD(C205,2)=0,"Yes","No"))),"Yes"))))))</x:f>
        <x:v>Yes</x:v>
      </x:c>
      <x:c r="J205" s="601"/>
      <x:c r="K205" s="601" t="str">
        <x:v>None</x:v>
      </x:c>
      <x:c r="L205" s="601"/>
      <x:c r="M205" s="601"/>
      <x:c r="N205" s="601"/>
      <x:c r="O205" s="602"/>
    </x:row>
    <x:row r="206">
      <x:c r="A206" s="580" t="n">
        <x:v>46341</x:v>
      </x:c>
      <x:c r="B206" s="581" t="str">
        <x:v>Sun</x:v>
      </x:c>
      <x:c r="C206" s="581" t="n">
        <x:v>10</x:v>
      </x:c>
      <x:c r="D206" s="581" t="str">
        <x:v>CE 3213</x:v>
      </x:c>
      <x:c r="E206" s="581" t="str">
        <x:v>Regular</x:v>
      </x:c>
      <x:c r="F206" s="601" t="str">
        <x:v>HRS</x:v>
      </x:c>
      <x:c r="G206" s="601" t="str">
        <x:v>4th • 10:40 AM–11:30 AM • Room 501</x:v>
      </x:c>
      <x:c r="H206" s="601" t="str">
        <x:v>SUN P4</x:v>
      </x:c>
      <x:c r="I206" s="601" t="str">
        <x:f>IF(E206="Extra",IF(AND(A206&lt;&gt;"",D206&lt;&gt;""),"Yes",""),IF(COUNTIF('Routine &amp; Holidays'!$M$8:$M$35,A206)&gt;0,"No",IF(D206="BECM 3204",IF(H206=Dashboard!$C$5,"Yes","No"),IF(D206="BECM 3208",IF(H206=Dashboard!$C$6,"Yes","No"),IF(D206="CE 3224",IF(H206=Dashboard!$C$7,"Yes","No"),IF(D206="BECM 3200",IF(Dashboard!$C$8="Every Week","Yes",IF(Dashboard!$C$8="Odd Weeks",IF(MOD(C206,2)=1,"Yes","No"),IF(MOD(C206,2)=0,"Yes","No"))),"Yes"))))))</x:f>
        <x:v>Yes</x:v>
      </x:c>
      <x:c r="J206" s="601"/>
      <x:c r="K206" s="601" t="str">
        <x:v>None</x:v>
      </x:c>
      <x:c r="L206" s="601"/>
      <x:c r="M206" s="601"/>
      <x:c r="N206" s="601"/>
      <x:c r="O206" s="602"/>
    </x:row>
    <x:row r="207">
      <x:c r="A207" s="580" t="n">
        <x:v>46341</x:v>
      </x:c>
      <x:c r="B207" s="581" t="str">
        <x:v>Sun</x:v>
      </x:c>
      <x:c r="C207" s="581" t="n">
        <x:v>10</x:v>
      </x:c>
      <x:c r="D207" s="581" t="str">
        <x:v>CE 3223</x:v>
      </x:c>
      <x:c r="E207" s="581" t="str">
        <x:v>Regular</x:v>
      </x:c>
      <x:c r="F207" s="601" t="str">
        <x:v>MSA</x:v>
      </x:c>
      <x:c r="G207" s="601" t="str">
        <x:v>5th • 11:30 AM–12:20 PM • Room 501</x:v>
      </x:c>
      <x:c r="H207" s="601" t="str">
        <x:v>SUN P5</x:v>
      </x:c>
      <x:c r="I207" s="601" t="str">
        <x:f>IF(E207="Extra",IF(AND(A207&lt;&gt;"",D207&lt;&gt;""),"Yes",""),IF(COUNTIF('Routine &amp; Holidays'!$M$8:$M$35,A207)&gt;0,"No",IF(D207="BECM 3204",IF(H207=Dashboard!$C$5,"Yes","No"),IF(D207="BECM 3208",IF(H207=Dashboard!$C$6,"Yes","No"),IF(D207="CE 3224",IF(H207=Dashboard!$C$7,"Yes","No"),IF(D207="BECM 3200",IF(Dashboard!$C$8="Every Week","Yes",IF(Dashboard!$C$8="Odd Weeks",IF(MOD(C207,2)=1,"Yes","No"),IF(MOD(C207,2)=0,"Yes","No"))),"Yes"))))))</x:f>
        <x:v>Yes</x:v>
      </x:c>
      <x:c r="J207" s="601"/>
      <x:c r="K207" s="601" t="str">
        <x:v>None</x:v>
      </x:c>
      <x:c r="L207" s="601"/>
      <x:c r="M207" s="601"/>
      <x:c r="N207" s="601"/>
      <x:c r="O207" s="602"/>
    </x:row>
    <x:row r="208">
      <x:c r="A208" s="580" t="n">
        <x:v>46341</x:v>
      </x:c>
      <x:c r="B208" s="581" t="str">
        <x:v>Sun</x:v>
      </x:c>
      <x:c r="C208" s="581" t="n">
        <x:v>10</x:v>
      </x:c>
      <x:c r="D208" s="581" t="str">
        <x:v>CE 3211</x:v>
      </x:c>
      <x:c r="E208" s="581" t="str">
        <x:v>Regular</x:v>
      </x:c>
      <x:c r="F208" s="601" t="str">
        <x:v>MKI</x:v>
      </x:c>
      <x:c r="G208" s="601" t="str">
        <x:v>6th • 12:20 PM–01:10 PM • Room 501</x:v>
      </x:c>
      <x:c r="H208" s="601" t="str">
        <x:v>SUN P6</x:v>
      </x:c>
      <x:c r="I208" s="601" t="str">
        <x:f>IF(E208="Extra",IF(AND(A208&lt;&gt;"",D208&lt;&gt;""),"Yes",""),IF(COUNTIF('Routine &amp; Holidays'!$M$8:$M$35,A208)&gt;0,"No",IF(D208="BECM 3204",IF(H208=Dashboard!$C$5,"Yes","No"),IF(D208="BECM 3208",IF(H208=Dashboard!$C$6,"Yes","No"),IF(D208="CE 3224",IF(H208=Dashboard!$C$7,"Yes","No"),IF(D208="BECM 3200",IF(Dashboard!$C$8="Every Week","Yes",IF(Dashboard!$C$8="Odd Weeks",IF(MOD(C208,2)=1,"Yes","No"),IF(MOD(C208,2)=0,"Yes","No"))),"Yes"))))))</x:f>
        <x:v>Yes</x:v>
      </x:c>
      <x:c r="J208" s="601"/>
      <x:c r="K208" s="601" t="str">
        <x:v>None</x:v>
      </x:c>
      <x:c r="L208" s="601"/>
      <x:c r="M208" s="601"/>
      <x:c r="N208" s="601"/>
      <x:c r="O208" s="602"/>
    </x:row>
    <x:row r="209">
      <x:c r="A209" s="580" t="n">
        <x:v>46342</x:v>
      </x:c>
      <x:c r="B209" s="581" t="str">
        <x:v>Mon</x:v>
      </x:c>
      <x:c r="C209" s="581" t="n">
        <x:v>10</x:v>
      </x:c>
      <x:c r="D209" s="581" t="str">
        <x:v>BECM 3200</x:v>
      </x:c>
      <x:c r="E209" s="581" t="str">
        <x:v>Regular</x:v>
      </x:c>
      <x:c r="F209" s="601" t="str">
        <x:v>ALL</x:v>
      </x:c>
      <x:c r="G209" s="601" t="str">
        <x:v>7-9 • 02:30 PM–05:00 PM</x:v>
      </x:c>
      <x:c r="H209" s="601" t="str">
        <x:v>Mon PM</x:v>
      </x:c>
      <x:c r="I209" s="601" t="str">
        <x:f>IF(E209="Extra",IF(AND(A209&lt;&gt;"",D209&lt;&gt;""),"Yes",""),IF(COUNTIF('Routine &amp; Holidays'!$M$8:$M$35,A209)&gt;0,"No",IF(D209="BECM 3204",IF(H209=Dashboard!$C$5,"Yes","No"),IF(D209="BECM 3208",IF(H209=Dashboard!$C$6,"Yes","No"),IF(D209="CE 3224",IF(H209=Dashboard!$C$7,"Yes","No"),IF(D209="BECM 3200",IF(Dashboard!$C$8="Every Week","Yes",IF(Dashboard!$C$8="Odd Weeks",IF(MOD(C209,2)=1,"Yes","No"),IF(MOD(C209,2)=0,"Yes","No"))),"Yes"))))))</x:f>
        <x:v>No</x:v>
      </x:c>
      <x:c r="J209" s="601"/>
      <x:c r="K209" s="601" t="str">
        <x:v>None</x:v>
      </x:c>
      <x:c r="L209" s="601"/>
      <x:c r="M209" s="601"/>
      <x:c r="N209" s="601"/>
      <x:c r="O209" s="602"/>
    </x:row>
    <x:row r="210">
      <x:c r="A210" s="580" t="n">
        <x:v>46342</x:v>
      </x:c>
      <x:c r="B210" s="581" t="str">
        <x:v>Mon</x:v>
      </x:c>
      <x:c r="C210" s="581" t="n">
        <x:v>10</x:v>
      </x:c>
      <x:c r="D210" s="581" t="str">
        <x:v>CE 3223</x:v>
      </x:c>
      <x:c r="E210" s="581" t="str">
        <x:v>Regular</x:v>
      </x:c>
      <x:c r="F210" s="601" t="str">
        <x:v>MHI/MSA</x:v>
      </x:c>
      <x:c r="G210" s="601" t="str">
        <x:v>3rd • 09:40 AM–10:30 AM • Room 404</x:v>
      </x:c>
      <x:c r="H210" s="601" t="str">
        <x:v>MON P3</x:v>
      </x:c>
      <x:c r="I210" s="601" t="str">
        <x:f>IF(E210="Extra",IF(AND(A210&lt;&gt;"",D210&lt;&gt;""),"Yes",""),IF(COUNTIF('Routine &amp; Holidays'!$M$8:$M$35,A210)&gt;0,"No",IF(D210="BECM 3204",IF(H210=Dashboard!$C$5,"Yes","No"),IF(D210="BECM 3208",IF(H210=Dashboard!$C$6,"Yes","No"),IF(D210="CE 3224",IF(H210=Dashboard!$C$7,"Yes","No"),IF(D210="BECM 3200",IF(Dashboard!$C$8="Every Week","Yes",IF(Dashboard!$C$8="Odd Weeks",IF(MOD(C210,2)=1,"Yes","No"),IF(MOD(C210,2)=0,"Yes","No"))),"Yes"))))))</x:f>
        <x:v>Yes</x:v>
      </x:c>
      <x:c r="J210" s="601"/>
      <x:c r="K210" s="601" t="str">
        <x:v>None</x:v>
      </x:c>
      <x:c r="L210" s="601"/>
      <x:c r="M210" s="601"/>
      <x:c r="N210" s="601"/>
      <x:c r="O210" s="602"/>
    </x:row>
    <x:row r="211">
      <x:c r="A211" s="580" t="n">
        <x:v>46342</x:v>
      </x:c>
      <x:c r="B211" s="581" t="str">
        <x:v>Mon</x:v>
      </x:c>
      <x:c r="C211" s="581" t="n">
        <x:v>10</x:v>
      </x:c>
      <x:c r="D211" s="581" t="str">
        <x:v>BECM 3201</x:v>
      </x:c>
      <x:c r="E211" s="581" t="str">
        <x:v>Regular</x:v>
      </x:c>
      <x:c r="F211" s="601" t="str">
        <x:v>MR</x:v>
      </x:c>
      <x:c r="G211" s="601" t="str">
        <x:v>5th • 11:30 AM–12:20 PM • Room 405</x:v>
      </x:c>
      <x:c r="H211" s="601" t="str">
        <x:v>MON P5</x:v>
      </x:c>
      <x:c r="I211" s="601" t="str">
        <x:f>IF(E211="Extra",IF(AND(A211&lt;&gt;"",D211&lt;&gt;""),"Yes",""),IF(COUNTIF('Routine &amp; Holidays'!$M$8:$M$35,A211)&gt;0,"No",IF(D211="BECM 3204",IF(H211=Dashboard!$C$5,"Yes","No"),IF(D211="BECM 3208",IF(H211=Dashboard!$C$6,"Yes","No"),IF(D211="CE 3224",IF(H211=Dashboard!$C$7,"Yes","No"),IF(D211="BECM 3200",IF(Dashboard!$C$8="Every Week","Yes",IF(Dashboard!$C$8="Odd Weeks",IF(MOD(C211,2)=1,"Yes","No"),IF(MOD(C211,2)=0,"Yes","No"))),"Yes"))))))</x:f>
        <x:v>Yes</x:v>
      </x:c>
      <x:c r="J211" s="601"/>
      <x:c r="K211" s="601" t="str">
        <x:v>None</x:v>
      </x:c>
      <x:c r="L211" s="601"/>
      <x:c r="M211" s="601"/>
      <x:c r="N211" s="601"/>
      <x:c r="O211" s="602"/>
    </x:row>
    <x:row r="212">
      <x:c r="A212" s="580" t="n">
        <x:v>46342</x:v>
      </x:c>
      <x:c r="B212" s="581" t="str">
        <x:v>Mon</x:v>
      </x:c>
      <x:c r="C212" s="581" t="n">
        <x:v>10</x:v>
      </x:c>
      <x:c r="D212" s="581" t="str">
        <x:v>BECM 3205</x:v>
      </x:c>
      <x:c r="E212" s="581" t="str">
        <x:v>Regular</x:v>
      </x:c>
      <x:c r="F212" s="601" t="str">
        <x:v>AAM</x:v>
      </x:c>
      <x:c r="G212" s="601" t="str">
        <x:v>6th • 12:20 PM–01:10 PM • Room 405</x:v>
      </x:c>
      <x:c r="H212" s="601" t="str">
        <x:v>MON P6</x:v>
      </x:c>
      <x:c r="I212" s="601" t="str">
        <x:f>IF(E212="Extra",IF(AND(A212&lt;&gt;"",D212&lt;&gt;""),"Yes",""),IF(COUNTIF('Routine &amp; Holidays'!$M$8:$M$35,A212)&gt;0,"No",IF(D212="BECM 3204",IF(H212=Dashboard!$C$5,"Yes","No"),IF(D212="BECM 3208",IF(H212=Dashboard!$C$6,"Yes","No"),IF(D212="CE 3224",IF(H212=Dashboard!$C$7,"Yes","No"),IF(D212="BECM 3200",IF(Dashboard!$C$8="Every Week","Yes",IF(Dashboard!$C$8="Odd Weeks",IF(MOD(C212,2)=1,"Yes","No"),IF(MOD(C212,2)=0,"Yes","No"))),"Yes"))))))</x:f>
        <x:v>Yes</x:v>
      </x:c>
      <x:c r="J212" s="601"/>
      <x:c r="K212" s="601" t="str">
        <x:v>None</x:v>
      </x:c>
      <x:c r="L212" s="601"/>
      <x:c r="M212" s="601"/>
      <x:c r="N212" s="601"/>
      <x:c r="O212" s="602"/>
    </x:row>
    <x:row r="213">
      <x:c r="A213" s="580" t="n">
        <x:v>46343</x:v>
      </x:c>
      <x:c r="B213" s="581" t="str">
        <x:v>Tues</x:v>
      </x:c>
      <x:c r="C213" s="581" t="n">
        <x:v>10</x:v>
      </x:c>
      <x:c r="D213" s="581" t="str">
        <x:v>BECM 3208</x:v>
      </x:c>
      <x:c r="E213" s="581" t="str">
        <x:v>Regular</x:v>
      </x:c>
      <x:c r="F213" s="601" t="str">
        <x:v>MSH/MSA</x:v>
      </x:c>
      <x:c r="G213" s="601" t="str">
        <x:v>7-9 • 02:30 PM–05:00 PM</x:v>
      </x:c>
      <x:c r="H213" s="601" t="str">
        <x:v>Tue PM</x:v>
      </x:c>
      <x:c r="I213" s="601" t="str">
        <x:f>IF(E213="Extra",IF(AND(A213&lt;&gt;"",D213&lt;&gt;""),"Yes",""),IF(COUNTIF('Routine &amp; Holidays'!$M$8:$M$35,A213)&gt;0,"No",IF(D213="BECM 3204",IF(H213=Dashboard!$C$5,"Yes","No"),IF(D213="BECM 3208",IF(H213=Dashboard!$C$6,"Yes","No"),IF(D213="CE 3224",IF(H213=Dashboard!$C$7,"Yes","No"),IF(D213="BECM 3200",IF(Dashboard!$C$8="Every Week","Yes",IF(Dashboard!$C$8="Odd Weeks",IF(MOD(C213,2)=1,"Yes","No"),IF(MOD(C213,2)=0,"Yes","No"))),"Yes"))))))</x:f>
        <x:v>Yes</x:v>
      </x:c>
      <x:c r="J213" s="601"/>
      <x:c r="K213" s="601" t="str">
        <x:v>None</x:v>
      </x:c>
      <x:c r="L213" s="601"/>
      <x:c r="M213" s="601"/>
      <x:c r="N213" s="601"/>
      <x:c r="O213" s="602"/>
    </x:row>
    <x:row r="214">
      <x:c r="A214" s="580" t="n">
        <x:v>46343</x:v>
      </x:c>
      <x:c r="B214" s="581" t="str">
        <x:v>Tues</x:v>
      </x:c>
      <x:c r="C214" s="581" t="n">
        <x:v>10</x:v>
      </x:c>
      <x:c r="D214" s="581" t="str">
        <x:v>CE 3224</x:v>
      </x:c>
      <x:c r="E214" s="581" t="str">
        <x:v>Regular</x:v>
      </x:c>
      <x:c r="F214" s="601" t="str">
        <x:v>MHI/MRA</x:v>
      </x:c>
      <x:c r="G214" s="601" t="str">
        <x:v>1-3 • 08:00 AM–10:30 AM</x:v>
      </x:c>
      <x:c r="H214" s="601" t="str">
        <x:v>Tue AM</x:v>
      </x:c>
      <x:c r="I214" s="601" t="str">
        <x:f>IF(E214="Extra",IF(AND(A214&lt;&gt;"",D214&lt;&gt;""),"Yes",""),IF(COUNTIF('Routine &amp; Holidays'!$M$8:$M$35,A214)&gt;0,"No",IF(D214="BECM 3204",IF(H214=Dashboard!$C$5,"Yes","No"),IF(D214="BECM 3208",IF(H214=Dashboard!$C$6,"Yes","No"),IF(D214="CE 3224",IF(H214=Dashboard!$C$7,"Yes","No"),IF(D214="BECM 3200",IF(Dashboard!$C$8="Every Week","Yes",IF(Dashboard!$C$8="Odd Weeks",IF(MOD(C214,2)=1,"Yes","No"),IF(MOD(C214,2)=0,"Yes","No"))),"Yes"))))))</x:f>
        <x:v>Yes</x:v>
      </x:c>
      <x:c r="J214" s="601"/>
      <x:c r="K214" s="601" t="str">
        <x:v>None</x:v>
      </x:c>
      <x:c r="L214" s="601"/>
      <x:c r="M214" s="601"/>
      <x:c r="N214" s="601"/>
      <x:c r="O214" s="602"/>
    </x:row>
    <x:row r="215">
      <x:c r="A215" s="580" t="n">
        <x:v>46343</x:v>
      </x:c>
      <x:c r="B215" s="581" t="str">
        <x:v>Tues</x:v>
      </x:c>
      <x:c r="C215" s="581" t="n">
        <x:v>10</x:v>
      </x:c>
      <x:c r="D215" s="581" t="str">
        <x:v>CE 3213</x:v>
      </x:c>
      <x:c r="E215" s="581" t="str">
        <x:v>Regular</x:v>
      </x:c>
      <x:c r="F215" s="601" t="str">
        <x:v>MKI</x:v>
      </x:c>
      <x:c r="G215" s="601" t="str">
        <x:v>5th • 11:30 AM–12:20 PM • Room 405</x:v>
      </x:c>
      <x:c r="H215" s="601" t="str">
        <x:v>TUES P5</x:v>
      </x:c>
      <x:c r="I215" s="601" t="str">
        <x:f>IF(E215="Extra",IF(AND(A215&lt;&gt;"",D215&lt;&gt;""),"Yes",""),IF(COUNTIF('Routine &amp; Holidays'!$M$8:$M$35,A215)&gt;0,"No",IF(D215="BECM 3204",IF(H215=Dashboard!$C$5,"Yes","No"),IF(D215="BECM 3208",IF(H215=Dashboard!$C$6,"Yes","No"),IF(D215="CE 3224",IF(H215=Dashboard!$C$7,"Yes","No"),IF(D215="BECM 3200",IF(Dashboard!$C$8="Every Week","Yes",IF(Dashboard!$C$8="Odd Weeks",IF(MOD(C215,2)=1,"Yes","No"),IF(MOD(C215,2)=0,"Yes","No"))),"Yes"))))))</x:f>
        <x:v>Yes</x:v>
      </x:c>
      <x:c r="J215" s="601"/>
      <x:c r="K215" s="601" t="str">
        <x:v>None</x:v>
      </x:c>
      <x:c r="L215" s="601"/>
      <x:c r="M215" s="601"/>
      <x:c r="N215" s="601"/>
      <x:c r="O215" s="602"/>
    </x:row>
    <x:row r="216">
      <x:c r="A216" s="580" t="n">
        <x:v>46343</x:v>
      </x:c>
      <x:c r="B216" s="581" t="str">
        <x:v>Tues</x:v>
      </x:c>
      <x:c r="C216" s="581" t="n">
        <x:v>10</x:v>
      </x:c>
      <x:c r="D216" s="581" t="str">
        <x:v>BECM 3201</x:v>
      </x:c>
      <x:c r="E216" s="581" t="str">
        <x:v>Regular</x:v>
      </x:c>
      <x:c r="F216" s="601" t="str">
        <x:v>MRA</x:v>
      </x:c>
      <x:c r="G216" s="601" t="str">
        <x:v>6th • 12:20 PM–01:10 PM • Room 405</x:v>
      </x:c>
      <x:c r="H216" s="601" t="str">
        <x:v>TUES P6</x:v>
      </x:c>
      <x:c r="I216" s="601" t="str">
        <x:f>IF(E216="Extra",IF(AND(A216&lt;&gt;"",D216&lt;&gt;""),"Yes",""),IF(COUNTIF('Routine &amp; Holidays'!$M$8:$M$35,A216)&gt;0,"No",IF(D216="BECM 3204",IF(H216=Dashboard!$C$5,"Yes","No"),IF(D216="BECM 3208",IF(H216=Dashboard!$C$6,"Yes","No"),IF(D216="CE 3224",IF(H216=Dashboard!$C$7,"Yes","No"),IF(D216="BECM 3200",IF(Dashboard!$C$8="Every Week","Yes",IF(Dashboard!$C$8="Odd Weeks",IF(MOD(C216,2)=1,"Yes","No"),IF(MOD(C216,2)=0,"Yes","No"))),"Yes"))))))</x:f>
        <x:v>Yes</x:v>
      </x:c>
      <x:c r="J216" s="601"/>
      <x:c r="K216" s="601" t="str">
        <x:v>None</x:v>
      </x:c>
      <x:c r="L216" s="601"/>
      <x:c r="M216" s="601"/>
      <x:c r="N216" s="601"/>
      <x:c r="O216" s="602"/>
    </x:row>
    <x:row r="217">
      <x:c r="A217" s="580" t="n">
        <x:v>46344</x:v>
      </x:c>
      <x:c r="B217" s="581" t="str">
        <x:v>Wed</x:v>
      </x:c>
      <x:c r="C217" s="581" t="n">
        <x:v>10</x:v>
      </x:c>
      <x:c r="D217" s="581" t="str">
        <x:v>BECM 3208</x:v>
      </x:c>
      <x:c r="E217" s="581" t="str">
        <x:v>Regular</x:v>
      </x:c>
      <x:c r="F217" s="601" t="str">
        <x:v>MSH/MSA</x:v>
      </x:c>
      <x:c r="G217" s="601" t="str">
        <x:v>7-9 • 02:30 PM–05:00 PM • Room 501</x:v>
      </x:c>
      <x:c r="H217" s="601" t="str">
        <x:v>Wed PM</x:v>
      </x:c>
      <x:c r="I217" s="601" t="str">
        <x:f>IF(E217="Extra",IF(AND(A217&lt;&gt;"",D217&lt;&gt;""),"Yes",""),IF(COUNTIF('Routine &amp; Holidays'!$M$8:$M$35,A217)&gt;0,"No",IF(D217="BECM 3204",IF(H217=Dashboard!$C$5,"Yes","No"),IF(D217="BECM 3208",IF(H217=Dashboard!$C$6,"Yes","No"),IF(D217="CE 3224",IF(H217=Dashboard!$C$7,"Yes","No"),IF(D217="BECM 3200",IF(Dashboard!$C$8="Every Week","Yes",IF(Dashboard!$C$8="Odd Weeks",IF(MOD(C217,2)=1,"Yes","No"),IF(MOD(C217,2)=0,"Yes","No"))),"Yes"))))))</x:f>
        <x:v>No</x:v>
      </x:c>
      <x:c r="J217" s="601"/>
      <x:c r="K217" s="601" t="str">
        <x:v>None</x:v>
      </x:c>
      <x:c r="L217" s="601"/>
      <x:c r="M217" s="601"/>
      <x:c r="N217" s="601"/>
      <x:c r="O217" s="602"/>
    </x:row>
    <x:row r="218">
      <x:c r="A218" s="580" t="n">
        <x:v>46344</x:v>
      </x:c>
      <x:c r="B218" s="581" t="str">
        <x:v>Wed</x:v>
      </x:c>
      <x:c r="C218" s="581" t="n">
        <x:v>10</x:v>
      </x:c>
      <x:c r="D218" s="581" t="str">
        <x:v>CE 3213</x:v>
      </x:c>
      <x:c r="E218" s="581" t="str">
        <x:v>Regular</x:v>
      </x:c>
      <x:c r="F218" s="601" t="str">
        <x:v>HRS/MKI</x:v>
      </x:c>
      <x:c r="G218" s="601" t="str">
        <x:v>3rd • 09:40 AM–10:30 AM • Room 501</x:v>
      </x:c>
      <x:c r="H218" s="601" t="str">
        <x:v>WED P3</x:v>
      </x:c>
      <x:c r="I218" s="601" t="str">
        <x:f>IF(E218="Extra",IF(AND(A218&lt;&gt;"",D218&lt;&gt;""),"Yes",""),IF(COUNTIF('Routine &amp; Holidays'!$M$8:$M$35,A218)&gt;0,"No",IF(D218="BECM 3204",IF(H218=Dashboard!$C$5,"Yes","No"),IF(D218="BECM 3208",IF(H218=Dashboard!$C$6,"Yes","No"),IF(D218="CE 3224",IF(H218=Dashboard!$C$7,"Yes","No"),IF(D218="BECM 3200",IF(Dashboard!$C$8="Every Week","Yes",IF(Dashboard!$C$8="Odd Weeks",IF(MOD(C218,2)=1,"Yes","No"),IF(MOD(C218,2)=0,"Yes","No"))),"Yes"))))))</x:f>
        <x:v>Yes</x:v>
      </x:c>
      <x:c r="J218" s="601"/>
      <x:c r="K218" s="601" t="str">
        <x:v>None</x:v>
      </x:c>
      <x:c r="L218" s="601"/>
      <x:c r="M218" s="601"/>
      <x:c r="N218" s="601"/>
      <x:c r="O218" s="602"/>
    </x:row>
    <x:row r="219">
      <x:c r="A219" s="580" t="n">
        <x:v>46344</x:v>
      </x:c>
      <x:c r="B219" s="581" t="str">
        <x:v>Wed</x:v>
      </x:c>
      <x:c r="C219" s="581" t="n">
        <x:v>10</x:v>
      </x:c>
      <x:c r="D219" s="581" t="str">
        <x:v>CE 3211</x:v>
      </x:c>
      <x:c r="E219" s="581" t="str">
        <x:v>Regular</x:v>
      </x:c>
      <x:c r="F219" s="601" t="str">
        <x:v>ATB</x:v>
      </x:c>
      <x:c r="G219" s="601" t="str">
        <x:v>4th • 10:40 AM–11:30 AM • Room 501</x:v>
      </x:c>
      <x:c r="H219" s="601" t="str">
        <x:v>WED P4</x:v>
      </x:c>
      <x:c r="I219" s="601" t="str">
        <x:f>IF(E219="Extra",IF(AND(A219&lt;&gt;"",D219&lt;&gt;""),"Yes",""),IF(COUNTIF('Routine &amp; Holidays'!$M$8:$M$35,A219)&gt;0,"No",IF(D219="BECM 3204",IF(H219=Dashboard!$C$5,"Yes","No"),IF(D219="BECM 3208",IF(H219=Dashboard!$C$6,"Yes","No"),IF(D219="CE 3224",IF(H219=Dashboard!$C$7,"Yes","No"),IF(D219="BECM 3200",IF(Dashboard!$C$8="Every Week","Yes",IF(Dashboard!$C$8="Odd Weeks",IF(MOD(C219,2)=1,"Yes","No"),IF(MOD(C219,2)=0,"Yes","No"))),"Yes"))))))</x:f>
        <x:v>Yes</x:v>
      </x:c>
      <x:c r="J219" s="601"/>
      <x:c r="K219" s="601" t="str">
        <x:v>None</x:v>
      </x:c>
      <x:c r="L219" s="601"/>
      <x:c r="M219" s="601"/>
      <x:c r="N219" s="601"/>
      <x:c r="O219" s="602"/>
    </x:row>
    <x:row r="220">
      <x:c r="A220" s="580" t="n">
        <x:v>46344</x:v>
      </x:c>
      <x:c r="B220" s="581" t="str">
        <x:v>Wed</x:v>
      </x:c>
      <x:c r="C220" s="581" t="n">
        <x:v>10</x:v>
      </x:c>
      <x:c r="D220" s="581" t="str">
        <x:v>CE 3223</x:v>
      </x:c>
      <x:c r="E220" s="581" t="str">
        <x:v>Regular</x:v>
      </x:c>
      <x:c r="F220" s="601" t="str">
        <x:v>MHI</x:v>
      </x:c>
      <x:c r="G220" s="601" t="str">
        <x:v>5th • 11:30 AM–12:20 PM • Room 501</x:v>
      </x:c>
      <x:c r="H220" s="601" t="str">
        <x:v>WED P5</x:v>
      </x:c>
      <x:c r="I220" s="601" t="str">
        <x:f>IF(E220="Extra",IF(AND(A220&lt;&gt;"",D220&lt;&gt;""),"Yes",""),IF(COUNTIF('Routine &amp; Holidays'!$M$8:$M$35,A220)&gt;0,"No",IF(D220="BECM 3204",IF(H220=Dashboard!$C$5,"Yes","No"),IF(D220="BECM 3208",IF(H220=Dashboard!$C$6,"Yes","No"),IF(D220="CE 3224",IF(H220=Dashboard!$C$7,"Yes","No"),IF(D220="BECM 3200",IF(Dashboard!$C$8="Every Week","Yes",IF(Dashboard!$C$8="Odd Weeks",IF(MOD(C220,2)=1,"Yes","No"),IF(MOD(C220,2)=0,"Yes","No"))),"Yes"))))))</x:f>
        <x:v>Yes</x:v>
      </x:c>
      <x:c r="J220" s="601"/>
      <x:c r="K220" s="601" t="str">
        <x:v>None</x:v>
      </x:c>
      <x:c r="L220" s="601"/>
      <x:c r="M220" s="601"/>
      <x:c r="N220" s="601"/>
      <x:c r="O220" s="602"/>
    </x:row>
    <x:row r="221">
      <x:c r="A221" s="580" t="n">
        <x:v>46344</x:v>
      </x:c>
      <x:c r="B221" s="581" t="str">
        <x:v>Wed</x:v>
      </x:c>
      <x:c r="C221" s="581" t="n">
        <x:v>10</x:v>
      </x:c>
      <x:c r="D221" s="581" t="str">
        <x:v>BECM 3205</x:v>
      </x:c>
      <x:c r="E221" s="581" t="str">
        <x:v>Regular</x:v>
      </x:c>
      <x:c r="F221" s="601" t="str">
        <x:v>MSH/AAM</x:v>
      </x:c>
      <x:c r="G221" s="601" t="str">
        <x:v>6th • 12:20 PM–01:10 PM • Room 501</x:v>
      </x:c>
      <x:c r="H221" s="601" t="str">
        <x:v>WED P6</x:v>
      </x:c>
      <x:c r="I221" s="601" t="str">
        <x:f>IF(E221="Extra",IF(AND(A221&lt;&gt;"",D221&lt;&gt;""),"Yes",""),IF(COUNTIF('Routine &amp; Holidays'!$M$8:$M$35,A221)&gt;0,"No",IF(D221="BECM 3204",IF(H221=Dashboard!$C$5,"Yes","No"),IF(D221="BECM 3208",IF(H221=Dashboard!$C$6,"Yes","No"),IF(D221="CE 3224",IF(H221=Dashboard!$C$7,"Yes","No"),IF(D221="BECM 3200",IF(Dashboard!$C$8="Every Week","Yes",IF(Dashboard!$C$8="Odd Weeks",IF(MOD(C221,2)=1,"Yes","No"),IF(MOD(C221,2)=0,"Yes","No"))),"Yes"))))))</x:f>
        <x:v>Yes</x:v>
      </x:c>
      <x:c r="J221" s="601"/>
      <x:c r="K221" s="601" t="str">
        <x:v>None</x:v>
      </x:c>
      <x:c r="L221" s="601"/>
      <x:c r="M221" s="601"/>
      <x:c r="N221" s="601"/>
      <x:c r="O221" s="602"/>
    </x:row>
    <x:row r="222">
      <x:c r="A222" s="580" t="n">
        <x:v>46345</x:v>
      </x:c>
      <x:c r="B222" s="581" t="str">
        <x:v>Thurs</x:v>
      </x:c>
      <x:c r="C222" s="581" t="n">
        <x:v>10</x:v>
      </x:c>
      <x:c r="D222" s="581" t="str">
        <x:v>CE 3224</x:v>
      </x:c>
      <x:c r="E222" s="581" t="str">
        <x:v>Regular</x:v>
      </x:c>
      <x:c r="F222" s="601" t="str">
        <x:v>MHI/MRA</x:v>
      </x:c>
      <x:c r="G222" s="601" t="str">
        <x:v>7-9 • 02:30 PM–05:00 PM • Room 405</x:v>
      </x:c>
      <x:c r="H222" s="601" t="str">
        <x:v>Thu PM</x:v>
      </x:c>
      <x:c r="I222" s="601" t="str">
        <x:f>IF(E222="Extra",IF(AND(A222&lt;&gt;"",D222&lt;&gt;""),"Yes",""),IF(COUNTIF('Routine &amp; Holidays'!$M$8:$M$35,A222)&gt;0,"No",IF(D222="BECM 3204",IF(H222=Dashboard!$C$5,"Yes","No"),IF(D222="BECM 3208",IF(H222=Dashboard!$C$6,"Yes","No"),IF(D222="CE 3224",IF(H222=Dashboard!$C$7,"Yes","No"),IF(D222="BECM 3200",IF(Dashboard!$C$8="Every Week","Yes",IF(Dashboard!$C$8="Odd Weeks",IF(MOD(C222,2)=1,"Yes","No"),IF(MOD(C222,2)=0,"Yes","No"))),"Yes"))))))</x:f>
        <x:v>No</x:v>
      </x:c>
      <x:c r="J222" s="601"/>
      <x:c r="K222" s="601" t="str">
        <x:v>None</x:v>
      </x:c>
      <x:c r="L222" s="601"/>
      <x:c r="M222" s="601"/>
      <x:c r="N222" s="601"/>
      <x:c r="O222" s="602"/>
    </x:row>
    <x:row r="223">
      <x:c r="A223" s="580" t="n">
        <x:v>46345</x:v>
      </x:c>
      <x:c r="B223" s="581" t="str">
        <x:v>Thurs</x:v>
      </x:c>
      <x:c r="C223" s="581" t="n">
        <x:v>10</x:v>
      </x:c>
      <x:c r="D223" s="581" t="str">
        <x:v>BECM 3204</x:v>
      </x:c>
      <x:c r="E223" s="581" t="str">
        <x:v>Regular</x:v>
      </x:c>
      <x:c r="F223" s="601" t="str">
        <x:v>HRS/MR</x:v>
      </x:c>
      <x:c r="G223" s="601" t="str">
        <x:v>1-3 • 08:00 AM–10:30 AM</x:v>
      </x:c>
      <x:c r="H223" s="601" t="str">
        <x:v>Thu AM</x:v>
      </x:c>
      <x:c r="I223" s="601" t="str">
        <x:f>IF(E223="Extra",IF(AND(A223&lt;&gt;"",D223&lt;&gt;""),"Yes",""),IF(COUNTIF('Routine &amp; Holidays'!$M$8:$M$35,A223)&gt;0,"No",IF(D223="BECM 3204",IF(H223=Dashboard!$C$5,"Yes","No"),IF(D223="BECM 3208",IF(H223=Dashboard!$C$6,"Yes","No"),IF(D223="CE 3224",IF(H223=Dashboard!$C$7,"Yes","No"),IF(D223="BECM 3200",IF(Dashboard!$C$8="Every Week","Yes",IF(Dashboard!$C$8="Odd Weeks",IF(MOD(C223,2)=1,"Yes","No"),IF(MOD(C223,2)=0,"Yes","No"))),"Yes"))))))</x:f>
        <x:v>No</x:v>
      </x:c>
      <x:c r="J223" s="601"/>
      <x:c r="K223" s="601" t="str">
        <x:v>None</x:v>
      </x:c>
      <x:c r="L223" s="601"/>
      <x:c r="M223" s="601"/>
      <x:c r="N223" s="601"/>
      <x:c r="O223" s="602"/>
    </x:row>
    <x:row r="224">
      <x:c r="A224" s="580" t="n">
        <x:v>46345</x:v>
      </x:c>
      <x:c r="B224" s="581" t="str">
        <x:v>Thurs</x:v>
      </x:c>
      <x:c r="C224" s="581" t="n">
        <x:v>10</x:v>
      </x:c>
      <x:c r="D224" s="581" t="str">
        <x:v>BECM 3205</x:v>
      </x:c>
      <x:c r="E224" s="581" t="str">
        <x:v>Regular</x:v>
      </x:c>
      <x:c r="F224" s="601" t="str">
        <x:v>MSH</x:v>
      </x:c>
      <x:c r="G224" s="601" t="str">
        <x:v>4th • 10:40 AM–11:30 AM • Room 406</x:v>
      </x:c>
      <x:c r="H224" s="601" t="str">
        <x:v>THURS P4</x:v>
      </x:c>
      <x:c r="I224" s="601" t="str">
        <x:f>IF(E224="Extra",IF(AND(A224&lt;&gt;"",D224&lt;&gt;""),"Yes",""),IF(COUNTIF('Routine &amp; Holidays'!$M$8:$M$35,A224)&gt;0,"No",IF(D224="BECM 3204",IF(H224=Dashboard!$C$5,"Yes","No"),IF(D224="BECM 3208",IF(H224=Dashboard!$C$6,"Yes","No"),IF(D224="CE 3224",IF(H224=Dashboard!$C$7,"Yes","No"),IF(D224="BECM 3200",IF(Dashboard!$C$8="Every Week","Yes",IF(Dashboard!$C$8="Odd Weeks",IF(MOD(C224,2)=1,"Yes","No"),IF(MOD(C224,2)=0,"Yes","No"))),"Yes"))))))</x:f>
        <x:v>Yes</x:v>
      </x:c>
      <x:c r="J224" s="601"/>
      <x:c r="K224" s="601" t="str">
        <x:v>None</x:v>
      </x:c>
      <x:c r="L224" s="601"/>
      <x:c r="M224" s="601"/>
      <x:c r="N224" s="601"/>
      <x:c r="O224" s="602"/>
    </x:row>
    <x:row r="225">
      <x:c r="A225" s="580" t="n">
        <x:v>46345</x:v>
      </x:c>
      <x:c r="B225" s="581" t="str">
        <x:v>Thurs</x:v>
      </x:c>
      <x:c r="C225" s="581" t="n">
        <x:v>10</x:v>
      </x:c>
      <x:c r="D225" s="581" t="str">
        <x:v>CE 3211</x:v>
      </x:c>
      <x:c r="E225" s="581" t="str">
        <x:v>Regular</x:v>
      </x:c>
      <x:c r="F225" s="601" t="str">
        <x:v>MKI/ATB</x:v>
      </x:c>
      <x:c r="G225" s="601" t="str">
        <x:v>5th • 11:30 AM–12:20 PM • Room 406</x:v>
      </x:c>
      <x:c r="H225" s="601" t="str">
        <x:v>THURS P5</x:v>
      </x:c>
      <x:c r="I225" s="601" t="str">
        <x:f>IF(E225="Extra",IF(AND(A225&lt;&gt;"",D225&lt;&gt;""),"Yes",""),IF(COUNTIF('Routine &amp; Holidays'!$M$8:$M$35,A225)&gt;0,"No",IF(D225="BECM 3204",IF(H225=Dashboard!$C$5,"Yes","No"),IF(D225="BECM 3208",IF(H225=Dashboard!$C$6,"Yes","No"),IF(D225="CE 3224",IF(H225=Dashboard!$C$7,"Yes","No"),IF(D225="BECM 3200",IF(Dashboard!$C$8="Every Week","Yes",IF(Dashboard!$C$8="Odd Weeks",IF(MOD(C225,2)=1,"Yes","No"),IF(MOD(C225,2)=0,"Yes","No"))),"Yes"))))))</x:f>
        <x:v>Yes</x:v>
      </x:c>
      <x:c r="J225" s="601"/>
      <x:c r="K225" s="601" t="str">
        <x:v>None</x:v>
      </x:c>
      <x:c r="L225" s="601"/>
      <x:c r="M225" s="601"/>
      <x:c r="N225" s="601"/>
      <x:c r="O225" s="602"/>
    </x:row>
    <x:row r="226">
      <x:c r="A226" s="580" t="n">
        <x:v>46345</x:v>
      </x:c>
      <x:c r="B226" s="581" t="str">
        <x:v>Thurs</x:v>
      </x:c>
      <x:c r="C226" s="581" t="n">
        <x:v>10</x:v>
      </x:c>
      <x:c r="D226" s="581" t="str">
        <x:v>BECM 3201</x:v>
      </x:c>
      <x:c r="E226" s="581" t="str">
        <x:v>Regular</x:v>
      </x:c>
      <x:c r="F226" s="601" t="str">
        <x:v>MR/MRA</x:v>
      </x:c>
      <x:c r="G226" s="601" t="str">
        <x:v>6th • 12:20 PM–01:10 PM • Room 406</x:v>
      </x:c>
      <x:c r="H226" s="601" t="str">
        <x:v>THURS P6</x:v>
      </x:c>
      <x:c r="I226" s="601" t="str">
        <x:f>IF(E226="Extra",IF(AND(A226&lt;&gt;"",D226&lt;&gt;""),"Yes",""),IF(COUNTIF('Routine &amp; Holidays'!$M$8:$M$35,A226)&gt;0,"No",IF(D226="BECM 3204",IF(H226=Dashboard!$C$5,"Yes","No"),IF(D226="BECM 3208",IF(H226=Dashboard!$C$6,"Yes","No"),IF(D226="CE 3224",IF(H226=Dashboard!$C$7,"Yes","No"),IF(D226="BECM 3200",IF(Dashboard!$C$8="Every Week","Yes",IF(Dashboard!$C$8="Odd Weeks",IF(MOD(C226,2)=1,"Yes","No"),IF(MOD(C226,2)=0,"Yes","No"))),"Yes"))))))</x:f>
        <x:v>Yes</x:v>
      </x:c>
      <x:c r="J226" s="601"/>
      <x:c r="K226" s="601" t="str">
        <x:v>None</x:v>
      </x:c>
      <x:c r="L226" s="601"/>
      <x:c r="M226" s="601"/>
      <x:c r="N226" s="601"/>
      <x:c r="O226" s="602"/>
    </x:row>
    <x:row r="227">
      <x:c r="A227" s="580" t="n">
        <x:v>46348</x:v>
      </x:c>
      <x:c r="B227" s="581" t="str">
        <x:v>Sun</x:v>
      </x:c>
      <x:c r="C227" s="581" t="n">
        <x:v>11</x:v>
      </x:c>
      <x:c r="D227" s="581" t="str">
        <x:v>BECM 3204</x:v>
      </x:c>
      <x:c r="E227" s="581" t="str">
        <x:v>Regular</x:v>
      </x:c>
      <x:c r="F227" s="601" t="str">
        <x:v>HRS/MR</x:v>
      </x:c>
      <x:c r="G227" s="601" t="str">
        <x:v>7-9 • 02:30 PM–05:00 PM • Room 404</x:v>
      </x:c>
      <x:c r="H227" s="601" t="str">
        <x:v>Sun PM</x:v>
      </x:c>
      <x:c r="I227" s="601" t="str">
        <x:f>IF(E227="Extra",IF(AND(A227&lt;&gt;"",D227&lt;&gt;""),"Yes",""),IF(COUNTIF('Routine &amp; Holidays'!$M$8:$M$35,A227)&gt;0,"No",IF(D227="BECM 3204",IF(H227=Dashboard!$C$5,"Yes","No"),IF(D227="BECM 3208",IF(H227=Dashboard!$C$6,"Yes","No"),IF(D227="CE 3224",IF(H227=Dashboard!$C$7,"Yes","No"),IF(D227="BECM 3200",IF(Dashboard!$C$8="Every Week","Yes",IF(Dashboard!$C$8="Odd Weeks",IF(MOD(C227,2)=1,"Yes","No"),IF(MOD(C227,2)=0,"Yes","No"))),"Yes"))))))</x:f>
        <x:v>Yes</x:v>
      </x:c>
      <x:c r="J227" s="601"/>
      <x:c r="K227" s="601" t="str">
        <x:v>None</x:v>
      </x:c>
      <x:c r="L227" s="601"/>
      <x:c r="M227" s="601"/>
      <x:c r="N227" s="601"/>
      <x:c r="O227" s="602"/>
    </x:row>
    <x:row r="228">
      <x:c r="A228" s="580" t="n">
        <x:v>46348</x:v>
      </x:c>
      <x:c r="B228" s="581" t="str">
        <x:v>Sun</x:v>
      </x:c>
      <x:c r="C228" s="581" t="n">
        <x:v>11</x:v>
      </x:c>
      <x:c r="D228" s="581" t="str">
        <x:v>CE 3213</x:v>
      </x:c>
      <x:c r="E228" s="581" t="str">
        <x:v>Regular</x:v>
      </x:c>
      <x:c r="F228" s="601" t="str">
        <x:v>HRS</x:v>
      </x:c>
      <x:c r="G228" s="601" t="str">
        <x:v>4th • 10:40 AM–11:30 AM • Room 501</x:v>
      </x:c>
      <x:c r="H228" s="601" t="str">
        <x:v>SUN P4</x:v>
      </x:c>
      <x:c r="I228" s="601" t="str">
        <x:f>IF(E228="Extra",IF(AND(A228&lt;&gt;"",D228&lt;&gt;""),"Yes",""),IF(COUNTIF('Routine &amp; Holidays'!$M$8:$M$35,A228)&gt;0,"No",IF(D228="BECM 3204",IF(H228=Dashboard!$C$5,"Yes","No"),IF(D228="BECM 3208",IF(H228=Dashboard!$C$6,"Yes","No"),IF(D228="CE 3224",IF(H228=Dashboard!$C$7,"Yes","No"),IF(D228="BECM 3200",IF(Dashboard!$C$8="Every Week","Yes",IF(Dashboard!$C$8="Odd Weeks",IF(MOD(C228,2)=1,"Yes","No"),IF(MOD(C228,2)=0,"Yes","No"))),"Yes"))))))</x:f>
        <x:v>Yes</x:v>
      </x:c>
      <x:c r="J228" s="601"/>
      <x:c r="K228" s="601" t="str">
        <x:v>None</x:v>
      </x:c>
      <x:c r="L228" s="601"/>
      <x:c r="M228" s="601"/>
      <x:c r="N228" s="601"/>
      <x:c r="O228" s="602"/>
    </x:row>
    <x:row r="229">
      <x:c r="A229" s="580" t="n">
        <x:v>46348</x:v>
      </x:c>
      <x:c r="B229" s="581" t="str">
        <x:v>Sun</x:v>
      </x:c>
      <x:c r="C229" s="581" t="n">
        <x:v>11</x:v>
      </x:c>
      <x:c r="D229" s="581" t="str">
        <x:v>CE 3223</x:v>
      </x:c>
      <x:c r="E229" s="581" t="str">
        <x:v>Regular</x:v>
      </x:c>
      <x:c r="F229" s="601" t="str">
        <x:v>MSA</x:v>
      </x:c>
      <x:c r="G229" s="601" t="str">
        <x:v>5th • 11:30 AM–12:20 PM • Room 501</x:v>
      </x:c>
      <x:c r="H229" s="601" t="str">
        <x:v>SUN P5</x:v>
      </x:c>
      <x:c r="I229" s="601" t="str">
        <x:f>IF(E229="Extra",IF(AND(A229&lt;&gt;"",D229&lt;&gt;""),"Yes",""),IF(COUNTIF('Routine &amp; Holidays'!$M$8:$M$35,A229)&gt;0,"No",IF(D229="BECM 3204",IF(H229=Dashboard!$C$5,"Yes","No"),IF(D229="BECM 3208",IF(H229=Dashboard!$C$6,"Yes","No"),IF(D229="CE 3224",IF(H229=Dashboard!$C$7,"Yes","No"),IF(D229="BECM 3200",IF(Dashboard!$C$8="Every Week","Yes",IF(Dashboard!$C$8="Odd Weeks",IF(MOD(C229,2)=1,"Yes","No"),IF(MOD(C229,2)=0,"Yes","No"))),"Yes"))))))</x:f>
        <x:v>Yes</x:v>
      </x:c>
      <x:c r="J229" s="601"/>
      <x:c r="K229" s="601" t="str">
        <x:v>None</x:v>
      </x:c>
      <x:c r="L229" s="601"/>
      <x:c r="M229" s="601"/>
      <x:c r="N229" s="601"/>
      <x:c r="O229" s="602"/>
    </x:row>
    <x:row r="230">
      <x:c r="A230" s="580" t="n">
        <x:v>46348</x:v>
      </x:c>
      <x:c r="B230" s="581" t="str">
        <x:v>Sun</x:v>
      </x:c>
      <x:c r="C230" s="581" t="n">
        <x:v>11</x:v>
      </x:c>
      <x:c r="D230" s="581" t="str">
        <x:v>CE 3211</x:v>
      </x:c>
      <x:c r="E230" s="581" t="str">
        <x:v>Regular</x:v>
      </x:c>
      <x:c r="F230" s="601" t="str">
        <x:v>MKI</x:v>
      </x:c>
      <x:c r="G230" s="601" t="str">
        <x:v>6th • 12:20 PM–01:10 PM • Room 501</x:v>
      </x:c>
      <x:c r="H230" s="601" t="str">
        <x:v>SUN P6</x:v>
      </x:c>
      <x:c r="I230" s="601" t="str">
        <x:f>IF(E230="Extra",IF(AND(A230&lt;&gt;"",D230&lt;&gt;""),"Yes",""),IF(COUNTIF('Routine &amp; Holidays'!$M$8:$M$35,A230)&gt;0,"No",IF(D230="BECM 3204",IF(H230=Dashboard!$C$5,"Yes","No"),IF(D230="BECM 3208",IF(H230=Dashboard!$C$6,"Yes","No"),IF(D230="CE 3224",IF(H230=Dashboard!$C$7,"Yes","No"),IF(D230="BECM 3200",IF(Dashboard!$C$8="Every Week","Yes",IF(Dashboard!$C$8="Odd Weeks",IF(MOD(C230,2)=1,"Yes","No"),IF(MOD(C230,2)=0,"Yes","No"))),"Yes"))))))</x:f>
        <x:v>Yes</x:v>
      </x:c>
      <x:c r="J230" s="601"/>
      <x:c r="K230" s="601" t="str">
        <x:v>None</x:v>
      </x:c>
      <x:c r="L230" s="601"/>
      <x:c r="M230" s="601"/>
      <x:c r="N230" s="601"/>
      <x:c r="O230" s="602"/>
    </x:row>
    <x:row r="231">
      <x:c r="A231" s="580" t="n">
        <x:v>46349</x:v>
      </x:c>
      <x:c r="B231" s="581" t="str">
        <x:v>Mon</x:v>
      </x:c>
      <x:c r="C231" s="581" t="n">
        <x:v>11</x:v>
      </x:c>
      <x:c r="D231" s="581" t="str">
        <x:v>BECM 3200</x:v>
      </x:c>
      <x:c r="E231" s="581" t="str">
        <x:v>Regular</x:v>
      </x:c>
      <x:c r="F231" s="601" t="str">
        <x:v>ALL</x:v>
      </x:c>
      <x:c r="G231" s="601" t="str">
        <x:v>7-9 • 02:30 PM–05:00 PM</x:v>
      </x:c>
      <x:c r="H231" s="601" t="str">
        <x:v>Mon PM</x:v>
      </x:c>
      <x:c r="I231" s="601" t="str">
        <x:f>IF(E231="Extra",IF(AND(A231&lt;&gt;"",D231&lt;&gt;""),"Yes",""),IF(COUNTIF('Routine &amp; Holidays'!$M$8:$M$35,A231)&gt;0,"No",IF(D231="BECM 3204",IF(H231=Dashboard!$C$5,"Yes","No"),IF(D231="BECM 3208",IF(H231=Dashboard!$C$6,"Yes","No"),IF(D231="CE 3224",IF(H231=Dashboard!$C$7,"Yes","No"),IF(D231="BECM 3200",IF(Dashboard!$C$8="Every Week","Yes",IF(Dashboard!$C$8="Odd Weeks",IF(MOD(C231,2)=1,"Yes","No"),IF(MOD(C231,2)=0,"Yes","No"))),"Yes"))))))</x:f>
        <x:v>Yes</x:v>
      </x:c>
      <x:c r="J231" s="601"/>
      <x:c r="K231" s="601" t="str">
        <x:v>None</x:v>
      </x:c>
      <x:c r="L231" s="601"/>
      <x:c r="M231" s="601"/>
      <x:c r="N231" s="601"/>
      <x:c r="O231" s="602"/>
    </x:row>
    <x:row r="232">
      <x:c r="A232" s="580" t="n">
        <x:v>46349</x:v>
      </x:c>
      <x:c r="B232" s="581" t="str">
        <x:v>Mon</x:v>
      </x:c>
      <x:c r="C232" s="581" t="n">
        <x:v>11</x:v>
      </x:c>
      <x:c r="D232" s="581" t="str">
        <x:v>CE 3223</x:v>
      </x:c>
      <x:c r="E232" s="581" t="str">
        <x:v>Regular</x:v>
      </x:c>
      <x:c r="F232" s="601" t="str">
        <x:v>MHI/MSA</x:v>
      </x:c>
      <x:c r="G232" s="601" t="str">
        <x:v>3rd • 09:40 AM–10:30 AM • Room 404</x:v>
      </x:c>
      <x:c r="H232" s="601" t="str">
        <x:v>MON P3</x:v>
      </x:c>
      <x:c r="I232" s="601" t="str">
        <x:f>IF(E232="Extra",IF(AND(A232&lt;&gt;"",D232&lt;&gt;""),"Yes",""),IF(COUNTIF('Routine &amp; Holidays'!$M$8:$M$35,A232)&gt;0,"No",IF(D232="BECM 3204",IF(H232=Dashboard!$C$5,"Yes","No"),IF(D232="BECM 3208",IF(H232=Dashboard!$C$6,"Yes","No"),IF(D232="CE 3224",IF(H232=Dashboard!$C$7,"Yes","No"),IF(D232="BECM 3200",IF(Dashboard!$C$8="Every Week","Yes",IF(Dashboard!$C$8="Odd Weeks",IF(MOD(C232,2)=1,"Yes","No"),IF(MOD(C232,2)=0,"Yes","No"))),"Yes"))))))</x:f>
        <x:v>Yes</x:v>
      </x:c>
      <x:c r="J232" s="601"/>
      <x:c r="K232" s="601" t="str">
        <x:v>None</x:v>
      </x:c>
      <x:c r="L232" s="601"/>
      <x:c r="M232" s="601"/>
      <x:c r="N232" s="601"/>
      <x:c r="O232" s="602"/>
    </x:row>
    <x:row r="233">
      <x:c r="A233" s="580" t="n">
        <x:v>46349</x:v>
      </x:c>
      <x:c r="B233" s="581" t="str">
        <x:v>Mon</x:v>
      </x:c>
      <x:c r="C233" s="581" t="n">
        <x:v>11</x:v>
      </x:c>
      <x:c r="D233" s="581" t="str">
        <x:v>BECM 3201</x:v>
      </x:c>
      <x:c r="E233" s="581" t="str">
        <x:v>Regular</x:v>
      </x:c>
      <x:c r="F233" s="601" t="str">
        <x:v>MR</x:v>
      </x:c>
      <x:c r="G233" s="601" t="str">
        <x:v>5th • 11:30 AM–12:20 PM • Room 405</x:v>
      </x:c>
      <x:c r="H233" s="601" t="str">
        <x:v>MON P5</x:v>
      </x:c>
      <x:c r="I233" s="601" t="str">
        <x:f>IF(E233="Extra",IF(AND(A233&lt;&gt;"",D233&lt;&gt;""),"Yes",""),IF(COUNTIF('Routine &amp; Holidays'!$M$8:$M$35,A233)&gt;0,"No",IF(D233="BECM 3204",IF(H233=Dashboard!$C$5,"Yes","No"),IF(D233="BECM 3208",IF(H233=Dashboard!$C$6,"Yes","No"),IF(D233="CE 3224",IF(H233=Dashboard!$C$7,"Yes","No"),IF(D233="BECM 3200",IF(Dashboard!$C$8="Every Week","Yes",IF(Dashboard!$C$8="Odd Weeks",IF(MOD(C233,2)=1,"Yes","No"),IF(MOD(C233,2)=0,"Yes","No"))),"Yes"))))))</x:f>
        <x:v>Yes</x:v>
      </x:c>
      <x:c r="J233" s="601"/>
      <x:c r="K233" s="601" t="str">
        <x:v>None</x:v>
      </x:c>
      <x:c r="L233" s="601"/>
      <x:c r="M233" s="601"/>
      <x:c r="N233" s="601"/>
      <x:c r="O233" s="602"/>
    </x:row>
    <x:row r="234">
      <x:c r="A234" s="580" t="n">
        <x:v>46349</x:v>
      </x:c>
      <x:c r="B234" s="581" t="str">
        <x:v>Mon</x:v>
      </x:c>
      <x:c r="C234" s="581" t="n">
        <x:v>11</x:v>
      </x:c>
      <x:c r="D234" s="581" t="str">
        <x:v>BECM 3205</x:v>
      </x:c>
      <x:c r="E234" s="581" t="str">
        <x:v>Regular</x:v>
      </x:c>
      <x:c r="F234" s="601" t="str">
        <x:v>AAM</x:v>
      </x:c>
      <x:c r="G234" s="601" t="str">
        <x:v>6th • 12:20 PM–01:10 PM • Room 405</x:v>
      </x:c>
      <x:c r="H234" s="601" t="str">
        <x:v>MON P6</x:v>
      </x:c>
      <x:c r="I234" s="601" t="str">
        <x:f>IF(E234="Extra",IF(AND(A234&lt;&gt;"",D234&lt;&gt;""),"Yes",""),IF(COUNTIF('Routine &amp; Holidays'!$M$8:$M$35,A234)&gt;0,"No",IF(D234="BECM 3204",IF(H234=Dashboard!$C$5,"Yes","No"),IF(D234="BECM 3208",IF(H234=Dashboard!$C$6,"Yes","No"),IF(D234="CE 3224",IF(H234=Dashboard!$C$7,"Yes","No"),IF(D234="BECM 3200",IF(Dashboard!$C$8="Every Week","Yes",IF(Dashboard!$C$8="Odd Weeks",IF(MOD(C234,2)=1,"Yes","No"),IF(MOD(C234,2)=0,"Yes","No"))),"Yes"))))))</x:f>
        <x:v>Yes</x:v>
      </x:c>
      <x:c r="J234" s="601"/>
      <x:c r="K234" s="601" t="str">
        <x:v>None</x:v>
      </x:c>
      <x:c r="L234" s="601"/>
      <x:c r="M234" s="601"/>
      <x:c r="N234" s="601"/>
      <x:c r="O234" s="602"/>
    </x:row>
    <x:row r="235">
      <x:c r="A235" s="580" t="n">
        <x:v>46350</x:v>
      </x:c>
      <x:c r="B235" s="581" t="str">
        <x:v>Tues</x:v>
      </x:c>
      <x:c r="C235" s="581" t="n">
        <x:v>11</x:v>
      </x:c>
      <x:c r="D235" s="581" t="str">
        <x:v>BECM 3208</x:v>
      </x:c>
      <x:c r="E235" s="581" t="str">
        <x:v>Regular</x:v>
      </x:c>
      <x:c r="F235" s="601" t="str">
        <x:v>MSH/MSA</x:v>
      </x:c>
      <x:c r="G235" s="601" t="str">
        <x:v>7-9 • 02:30 PM–05:00 PM</x:v>
      </x:c>
      <x:c r="H235" s="601" t="str">
        <x:v>Tue PM</x:v>
      </x:c>
      <x:c r="I235" s="601" t="str">
        <x:f>IF(E235="Extra",IF(AND(A235&lt;&gt;"",D235&lt;&gt;""),"Yes",""),IF(COUNTIF('Routine &amp; Holidays'!$M$8:$M$35,A235)&gt;0,"No",IF(D235="BECM 3204",IF(H235=Dashboard!$C$5,"Yes","No"),IF(D235="BECM 3208",IF(H235=Dashboard!$C$6,"Yes","No"),IF(D235="CE 3224",IF(H235=Dashboard!$C$7,"Yes","No"),IF(D235="BECM 3200",IF(Dashboard!$C$8="Every Week","Yes",IF(Dashboard!$C$8="Odd Weeks",IF(MOD(C235,2)=1,"Yes","No"),IF(MOD(C235,2)=0,"Yes","No"))),"Yes"))))))</x:f>
        <x:v>Yes</x:v>
      </x:c>
      <x:c r="J235" s="601"/>
      <x:c r="K235" s="601" t="str">
        <x:v>None</x:v>
      </x:c>
      <x:c r="L235" s="601"/>
      <x:c r="M235" s="601"/>
      <x:c r="N235" s="601"/>
      <x:c r="O235" s="602"/>
    </x:row>
    <x:row r="236">
      <x:c r="A236" s="580" t="n">
        <x:v>46350</x:v>
      </x:c>
      <x:c r="B236" s="581" t="str">
        <x:v>Tues</x:v>
      </x:c>
      <x:c r="C236" s="581" t="n">
        <x:v>11</x:v>
      </x:c>
      <x:c r="D236" s="581" t="str">
        <x:v>CE 3224</x:v>
      </x:c>
      <x:c r="E236" s="581" t="str">
        <x:v>Regular</x:v>
      </x:c>
      <x:c r="F236" s="601" t="str">
        <x:v>MHI/MRA</x:v>
      </x:c>
      <x:c r="G236" s="601" t="str">
        <x:v>1-3 • 08:00 AM–10:30 AM</x:v>
      </x:c>
      <x:c r="H236" s="601" t="str">
        <x:v>Tue AM</x:v>
      </x:c>
      <x:c r="I236" s="601" t="str">
        <x:f>IF(E236="Extra",IF(AND(A236&lt;&gt;"",D236&lt;&gt;""),"Yes",""),IF(COUNTIF('Routine &amp; Holidays'!$M$8:$M$35,A236)&gt;0,"No",IF(D236="BECM 3204",IF(H236=Dashboard!$C$5,"Yes","No"),IF(D236="BECM 3208",IF(H236=Dashboard!$C$6,"Yes","No"),IF(D236="CE 3224",IF(H236=Dashboard!$C$7,"Yes","No"),IF(D236="BECM 3200",IF(Dashboard!$C$8="Every Week","Yes",IF(Dashboard!$C$8="Odd Weeks",IF(MOD(C236,2)=1,"Yes","No"),IF(MOD(C236,2)=0,"Yes","No"))),"Yes"))))))</x:f>
        <x:v>Yes</x:v>
      </x:c>
      <x:c r="J236" s="601"/>
      <x:c r="K236" s="601" t="str">
        <x:v>None</x:v>
      </x:c>
      <x:c r="L236" s="601"/>
      <x:c r="M236" s="601"/>
      <x:c r="N236" s="601"/>
      <x:c r="O236" s="602"/>
    </x:row>
    <x:row r="237">
      <x:c r="A237" s="580" t="n">
        <x:v>46350</x:v>
      </x:c>
      <x:c r="B237" s="581" t="str">
        <x:v>Tues</x:v>
      </x:c>
      <x:c r="C237" s="581" t="n">
        <x:v>11</x:v>
      </x:c>
      <x:c r="D237" s="581" t="str">
        <x:v>CE 3213</x:v>
      </x:c>
      <x:c r="E237" s="581" t="str">
        <x:v>Regular</x:v>
      </x:c>
      <x:c r="F237" s="601" t="str">
        <x:v>MKI</x:v>
      </x:c>
      <x:c r="G237" s="601" t="str">
        <x:v>5th • 11:30 AM–12:20 PM • Room 405</x:v>
      </x:c>
      <x:c r="H237" s="601" t="str">
        <x:v>TUES P5</x:v>
      </x:c>
      <x:c r="I237" s="601" t="str">
        <x:f>IF(E237="Extra",IF(AND(A237&lt;&gt;"",D237&lt;&gt;""),"Yes",""),IF(COUNTIF('Routine &amp; Holidays'!$M$8:$M$35,A237)&gt;0,"No",IF(D237="BECM 3204",IF(H237=Dashboard!$C$5,"Yes","No"),IF(D237="BECM 3208",IF(H237=Dashboard!$C$6,"Yes","No"),IF(D237="CE 3224",IF(H237=Dashboard!$C$7,"Yes","No"),IF(D237="BECM 3200",IF(Dashboard!$C$8="Every Week","Yes",IF(Dashboard!$C$8="Odd Weeks",IF(MOD(C237,2)=1,"Yes","No"),IF(MOD(C237,2)=0,"Yes","No"))),"Yes"))))))</x:f>
        <x:v>Yes</x:v>
      </x:c>
      <x:c r="J237" s="601"/>
      <x:c r="K237" s="601" t="str">
        <x:v>None</x:v>
      </x:c>
      <x:c r="L237" s="601"/>
      <x:c r="M237" s="601"/>
      <x:c r="N237" s="601"/>
      <x:c r="O237" s="602"/>
    </x:row>
    <x:row r="238">
      <x:c r="A238" s="580" t="n">
        <x:v>46350</x:v>
      </x:c>
      <x:c r="B238" s="581" t="str">
        <x:v>Tues</x:v>
      </x:c>
      <x:c r="C238" s="581" t="n">
        <x:v>11</x:v>
      </x:c>
      <x:c r="D238" s="581" t="str">
        <x:v>BECM 3201</x:v>
      </x:c>
      <x:c r="E238" s="581" t="str">
        <x:v>Regular</x:v>
      </x:c>
      <x:c r="F238" s="601" t="str">
        <x:v>MRA</x:v>
      </x:c>
      <x:c r="G238" s="601" t="str">
        <x:v>6th • 12:20 PM–01:10 PM • Room 405</x:v>
      </x:c>
      <x:c r="H238" s="601" t="str">
        <x:v>TUES P6</x:v>
      </x:c>
      <x:c r="I238" s="601" t="str">
        <x:f>IF(E238="Extra",IF(AND(A238&lt;&gt;"",D238&lt;&gt;""),"Yes",""),IF(COUNTIF('Routine &amp; Holidays'!$M$8:$M$35,A238)&gt;0,"No",IF(D238="BECM 3204",IF(H238=Dashboard!$C$5,"Yes","No"),IF(D238="BECM 3208",IF(H238=Dashboard!$C$6,"Yes","No"),IF(D238="CE 3224",IF(H238=Dashboard!$C$7,"Yes","No"),IF(D238="BECM 3200",IF(Dashboard!$C$8="Every Week","Yes",IF(Dashboard!$C$8="Odd Weeks",IF(MOD(C238,2)=1,"Yes","No"),IF(MOD(C238,2)=0,"Yes","No"))),"Yes"))))))</x:f>
        <x:v>Yes</x:v>
      </x:c>
      <x:c r="J238" s="601"/>
      <x:c r="K238" s="601" t="str">
        <x:v>None</x:v>
      </x:c>
      <x:c r="L238" s="601"/>
      <x:c r="M238" s="601"/>
      <x:c r="N238" s="601"/>
      <x:c r="O238" s="602"/>
    </x:row>
    <x:row r="239">
      <x:c r="A239" s="580" t="n">
        <x:v>46351</x:v>
      </x:c>
      <x:c r="B239" s="581" t="str">
        <x:v>Wed</x:v>
      </x:c>
      <x:c r="C239" s="581" t="n">
        <x:v>11</x:v>
      </x:c>
      <x:c r="D239" s="581" t="str">
        <x:v>BECM 3208</x:v>
      </x:c>
      <x:c r="E239" s="581" t="str">
        <x:v>Regular</x:v>
      </x:c>
      <x:c r="F239" s="601" t="str">
        <x:v>MSH/MSA</x:v>
      </x:c>
      <x:c r="G239" s="601" t="str">
        <x:v>7-9 • 02:30 PM–05:00 PM • Room 501</x:v>
      </x:c>
      <x:c r="H239" s="601" t="str">
        <x:v>Wed PM</x:v>
      </x:c>
      <x:c r="I239" s="601" t="str">
        <x:f>IF(E239="Extra",IF(AND(A239&lt;&gt;"",D239&lt;&gt;""),"Yes",""),IF(COUNTIF('Routine &amp; Holidays'!$M$8:$M$35,A239)&gt;0,"No",IF(D239="BECM 3204",IF(H239=Dashboard!$C$5,"Yes","No"),IF(D239="BECM 3208",IF(H239=Dashboard!$C$6,"Yes","No"),IF(D239="CE 3224",IF(H239=Dashboard!$C$7,"Yes","No"),IF(D239="BECM 3200",IF(Dashboard!$C$8="Every Week","Yes",IF(Dashboard!$C$8="Odd Weeks",IF(MOD(C239,2)=1,"Yes","No"),IF(MOD(C239,2)=0,"Yes","No"))),"Yes"))))))</x:f>
        <x:v>No</x:v>
      </x:c>
      <x:c r="J239" s="601"/>
      <x:c r="K239" s="601" t="str">
        <x:v>None</x:v>
      </x:c>
      <x:c r="L239" s="601"/>
      <x:c r="M239" s="601"/>
      <x:c r="N239" s="601"/>
      <x:c r="O239" s="602"/>
    </x:row>
    <x:row r="240">
      <x:c r="A240" s="580" t="n">
        <x:v>46351</x:v>
      </x:c>
      <x:c r="B240" s="581" t="str">
        <x:v>Wed</x:v>
      </x:c>
      <x:c r="C240" s="581" t="n">
        <x:v>11</x:v>
      </x:c>
      <x:c r="D240" s="581" t="str">
        <x:v>CE 3213</x:v>
      </x:c>
      <x:c r="E240" s="581" t="str">
        <x:v>Regular</x:v>
      </x:c>
      <x:c r="F240" s="601" t="str">
        <x:v>HRS/MKI</x:v>
      </x:c>
      <x:c r="G240" s="601" t="str">
        <x:v>3rd • 09:40 AM–10:30 AM • Room 501</x:v>
      </x:c>
      <x:c r="H240" s="601" t="str">
        <x:v>WED P3</x:v>
      </x:c>
      <x:c r="I240" s="601" t="str">
        <x:f>IF(E240="Extra",IF(AND(A240&lt;&gt;"",D240&lt;&gt;""),"Yes",""),IF(COUNTIF('Routine &amp; Holidays'!$M$8:$M$35,A240)&gt;0,"No",IF(D240="BECM 3204",IF(H240=Dashboard!$C$5,"Yes","No"),IF(D240="BECM 3208",IF(H240=Dashboard!$C$6,"Yes","No"),IF(D240="CE 3224",IF(H240=Dashboard!$C$7,"Yes","No"),IF(D240="BECM 3200",IF(Dashboard!$C$8="Every Week","Yes",IF(Dashboard!$C$8="Odd Weeks",IF(MOD(C240,2)=1,"Yes","No"),IF(MOD(C240,2)=0,"Yes","No"))),"Yes"))))))</x:f>
        <x:v>Yes</x:v>
      </x:c>
      <x:c r="J240" s="601"/>
      <x:c r="K240" s="601" t="str">
        <x:v>None</x:v>
      </x:c>
      <x:c r="L240" s="601"/>
      <x:c r="M240" s="601"/>
      <x:c r="N240" s="601"/>
      <x:c r="O240" s="602"/>
    </x:row>
    <x:row r="241">
      <x:c r="A241" s="580" t="n">
        <x:v>46351</x:v>
      </x:c>
      <x:c r="B241" s="581" t="str">
        <x:v>Wed</x:v>
      </x:c>
      <x:c r="C241" s="581" t="n">
        <x:v>11</x:v>
      </x:c>
      <x:c r="D241" s="581" t="str">
        <x:v>CE 3211</x:v>
      </x:c>
      <x:c r="E241" s="581" t="str">
        <x:v>Regular</x:v>
      </x:c>
      <x:c r="F241" s="601" t="str">
        <x:v>ATB</x:v>
      </x:c>
      <x:c r="G241" s="601" t="str">
        <x:v>4th • 10:40 AM–11:30 AM • Room 501</x:v>
      </x:c>
      <x:c r="H241" s="601" t="str">
        <x:v>WED P4</x:v>
      </x:c>
      <x:c r="I241" s="601" t="str">
        <x:f>IF(E241="Extra",IF(AND(A241&lt;&gt;"",D241&lt;&gt;""),"Yes",""),IF(COUNTIF('Routine &amp; Holidays'!$M$8:$M$35,A241)&gt;0,"No",IF(D241="BECM 3204",IF(H241=Dashboard!$C$5,"Yes","No"),IF(D241="BECM 3208",IF(H241=Dashboard!$C$6,"Yes","No"),IF(D241="CE 3224",IF(H241=Dashboard!$C$7,"Yes","No"),IF(D241="BECM 3200",IF(Dashboard!$C$8="Every Week","Yes",IF(Dashboard!$C$8="Odd Weeks",IF(MOD(C241,2)=1,"Yes","No"),IF(MOD(C241,2)=0,"Yes","No"))),"Yes"))))))</x:f>
        <x:v>Yes</x:v>
      </x:c>
      <x:c r="J241" s="601"/>
      <x:c r="K241" s="601" t="str">
        <x:v>None</x:v>
      </x:c>
      <x:c r="L241" s="601"/>
      <x:c r="M241" s="601"/>
      <x:c r="N241" s="601"/>
      <x:c r="O241" s="602"/>
    </x:row>
    <x:row r="242">
      <x:c r="A242" s="580" t="n">
        <x:v>46351</x:v>
      </x:c>
      <x:c r="B242" s="581" t="str">
        <x:v>Wed</x:v>
      </x:c>
      <x:c r="C242" s="581" t="n">
        <x:v>11</x:v>
      </x:c>
      <x:c r="D242" s="581" t="str">
        <x:v>CE 3223</x:v>
      </x:c>
      <x:c r="E242" s="581" t="str">
        <x:v>Regular</x:v>
      </x:c>
      <x:c r="F242" s="601" t="str">
        <x:v>MHI</x:v>
      </x:c>
      <x:c r="G242" s="601" t="str">
        <x:v>5th • 11:30 AM–12:20 PM • Room 501</x:v>
      </x:c>
      <x:c r="H242" s="601" t="str">
        <x:v>WED P5</x:v>
      </x:c>
      <x:c r="I242" s="601" t="str">
        <x:f>IF(E242="Extra",IF(AND(A242&lt;&gt;"",D242&lt;&gt;""),"Yes",""),IF(COUNTIF('Routine &amp; Holidays'!$M$8:$M$35,A242)&gt;0,"No",IF(D242="BECM 3204",IF(H242=Dashboard!$C$5,"Yes","No"),IF(D242="BECM 3208",IF(H242=Dashboard!$C$6,"Yes","No"),IF(D242="CE 3224",IF(H242=Dashboard!$C$7,"Yes","No"),IF(D242="BECM 3200",IF(Dashboard!$C$8="Every Week","Yes",IF(Dashboard!$C$8="Odd Weeks",IF(MOD(C242,2)=1,"Yes","No"),IF(MOD(C242,2)=0,"Yes","No"))),"Yes"))))))</x:f>
        <x:v>Yes</x:v>
      </x:c>
      <x:c r="J242" s="601"/>
      <x:c r="K242" s="601" t="str">
        <x:v>None</x:v>
      </x:c>
      <x:c r="L242" s="601"/>
      <x:c r="M242" s="601"/>
      <x:c r="N242" s="601"/>
      <x:c r="O242" s="602"/>
    </x:row>
    <x:row r="243">
      <x:c r="A243" s="580" t="n">
        <x:v>46351</x:v>
      </x:c>
      <x:c r="B243" s="581" t="str">
        <x:v>Wed</x:v>
      </x:c>
      <x:c r="C243" s="581" t="n">
        <x:v>11</x:v>
      </x:c>
      <x:c r="D243" s="581" t="str">
        <x:v>BECM 3205</x:v>
      </x:c>
      <x:c r="E243" s="581" t="str">
        <x:v>Regular</x:v>
      </x:c>
      <x:c r="F243" s="601" t="str">
        <x:v>MSH/AAM</x:v>
      </x:c>
      <x:c r="G243" s="601" t="str">
        <x:v>6th • 12:20 PM–01:10 PM • Room 501</x:v>
      </x:c>
      <x:c r="H243" s="601" t="str">
        <x:v>WED P6</x:v>
      </x:c>
      <x:c r="I243" s="601" t="str">
        <x:f>IF(E243="Extra",IF(AND(A243&lt;&gt;"",D243&lt;&gt;""),"Yes",""),IF(COUNTIF('Routine &amp; Holidays'!$M$8:$M$35,A243)&gt;0,"No",IF(D243="BECM 3204",IF(H243=Dashboard!$C$5,"Yes","No"),IF(D243="BECM 3208",IF(H243=Dashboard!$C$6,"Yes","No"),IF(D243="CE 3224",IF(H243=Dashboard!$C$7,"Yes","No"),IF(D243="BECM 3200",IF(Dashboard!$C$8="Every Week","Yes",IF(Dashboard!$C$8="Odd Weeks",IF(MOD(C243,2)=1,"Yes","No"),IF(MOD(C243,2)=0,"Yes","No"))),"Yes"))))))</x:f>
        <x:v>Yes</x:v>
      </x:c>
      <x:c r="J243" s="601"/>
      <x:c r="K243" s="601" t="str">
        <x:v>None</x:v>
      </x:c>
      <x:c r="L243" s="601"/>
      <x:c r="M243" s="601"/>
      <x:c r="N243" s="601"/>
      <x:c r="O243" s="602"/>
    </x:row>
    <x:row r="244">
      <x:c r="A244" s="580" t="n">
        <x:v>46352</x:v>
      </x:c>
      <x:c r="B244" s="581" t="str">
        <x:v>Thurs</x:v>
      </x:c>
      <x:c r="C244" s="581" t="n">
        <x:v>11</x:v>
      </x:c>
      <x:c r="D244" s="581" t="str">
        <x:v>CE 3224</x:v>
      </x:c>
      <x:c r="E244" s="581" t="str">
        <x:v>Regular</x:v>
      </x:c>
      <x:c r="F244" s="601" t="str">
        <x:v>MHI/MRA</x:v>
      </x:c>
      <x:c r="G244" s="601" t="str">
        <x:v>7-9 • 02:30 PM–05:00 PM • Room 405</x:v>
      </x:c>
      <x:c r="H244" s="601" t="str">
        <x:v>Thu PM</x:v>
      </x:c>
      <x:c r="I244" s="601" t="str">
        <x:f>IF(E244="Extra",IF(AND(A244&lt;&gt;"",D244&lt;&gt;""),"Yes",""),IF(COUNTIF('Routine &amp; Holidays'!$M$8:$M$35,A244)&gt;0,"No",IF(D244="BECM 3204",IF(H244=Dashboard!$C$5,"Yes","No"),IF(D244="BECM 3208",IF(H244=Dashboard!$C$6,"Yes","No"),IF(D244="CE 3224",IF(H244=Dashboard!$C$7,"Yes","No"),IF(D244="BECM 3200",IF(Dashboard!$C$8="Every Week","Yes",IF(Dashboard!$C$8="Odd Weeks",IF(MOD(C244,2)=1,"Yes","No"),IF(MOD(C244,2)=0,"Yes","No"))),"Yes"))))))</x:f>
        <x:v>No</x:v>
      </x:c>
      <x:c r="J244" s="601"/>
      <x:c r="K244" s="601" t="str">
        <x:v>None</x:v>
      </x:c>
      <x:c r="L244" s="601"/>
      <x:c r="M244" s="601"/>
      <x:c r="N244" s="601"/>
      <x:c r="O244" s="602"/>
    </x:row>
    <x:row r="245">
      <x:c r="A245" s="580" t="n">
        <x:v>46352</x:v>
      </x:c>
      <x:c r="B245" s="581" t="str">
        <x:v>Thurs</x:v>
      </x:c>
      <x:c r="C245" s="581" t="n">
        <x:v>11</x:v>
      </x:c>
      <x:c r="D245" s="581" t="str">
        <x:v>BECM 3204</x:v>
      </x:c>
      <x:c r="E245" s="581" t="str">
        <x:v>Regular</x:v>
      </x:c>
      <x:c r="F245" s="601" t="str">
        <x:v>HRS/MR</x:v>
      </x:c>
      <x:c r="G245" s="601" t="str">
        <x:v>1-3 • 08:00 AM–10:30 AM</x:v>
      </x:c>
      <x:c r="H245" s="601" t="str">
        <x:v>Thu AM</x:v>
      </x:c>
      <x:c r="I245" s="601" t="str">
        <x:f>IF(E245="Extra",IF(AND(A245&lt;&gt;"",D245&lt;&gt;""),"Yes",""),IF(COUNTIF('Routine &amp; Holidays'!$M$8:$M$35,A245)&gt;0,"No",IF(D245="BECM 3204",IF(H245=Dashboard!$C$5,"Yes","No"),IF(D245="BECM 3208",IF(H245=Dashboard!$C$6,"Yes","No"),IF(D245="CE 3224",IF(H245=Dashboard!$C$7,"Yes","No"),IF(D245="BECM 3200",IF(Dashboard!$C$8="Every Week","Yes",IF(Dashboard!$C$8="Odd Weeks",IF(MOD(C245,2)=1,"Yes","No"),IF(MOD(C245,2)=0,"Yes","No"))),"Yes"))))))</x:f>
        <x:v>No</x:v>
      </x:c>
      <x:c r="J245" s="601"/>
      <x:c r="K245" s="601" t="str">
        <x:v>None</x:v>
      </x:c>
      <x:c r="L245" s="601"/>
      <x:c r="M245" s="601"/>
      <x:c r="N245" s="601"/>
      <x:c r="O245" s="602"/>
    </x:row>
    <x:row r="246">
      <x:c r="A246" s="580" t="n">
        <x:v>46352</x:v>
      </x:c>
      <x:c r="B246" s="581" t="str">
        <x:v>Thurs</x:v>
      </x:c>
      <x:c r="C246" s="581" t="n">
        <x:v>11</x:v>
      </x:c>
      <x:c r="D246" s="581" t="str">
        <x:v>BECM 3205</x:v>
      </x:c>
      <x:c r="E246" s="581" t="str">
        <x:v>Regular</x:v>
      </x:c>
      <x:c r="F246" s="601" t="str">
        <x:v>MSH</x:v>
      </x:c>
      <x:c r="G246" s="601" t="str">
        <x:v>4th • 10:40 AM–11:30 AM • Room 406</x:v>
      </x:c>
      <x:c r="H246" s="601" t="str">
        <x:v>THURS P4</x:v>
      </x:c>
      <x:c r="I246" s="601" t="str">
        <x:f>IF(E246="Extra",IF(AND(A246&lt;&gt;"",D246&lt;&gt;""),"Yes",""),IF(COUNTIF('Routine &amp; Holidays'!$M$8:$M$35,A246)&gt;0,"No",IF(D246="BECM 3204",IF(H246=Dashboard!$C$5,"Yes","No"),IF(D246="BECM 3208",IF(H246=Dashboard!$C$6,"Yes","No"),IF(D246="CE 3224",IF(H246=Dashboard!$C$7,"Yes","No"),IF(D246="BECM 3200",IF(Dashboard!$C$8="Every Week","Yes",IF(Dashboard!$C$8="Odd Weeks",IF(MOD(C246,2)=1,"Yes","No"),IF(MOD(C246,2)=0,"Yes","No"))),"Yes"))))))</x:f>
        <x:v>Yes</x:v>
      </x:c>
      <x:c r="J246" s="601"/>
      <x:c r="K246" s="601" t="str">
        <x:v>None</x:v>
      </x:c>
      <x:c r="L246" s="601"/>
      <x:c r="M246" s="601"/>
      <x:c r="N246" s="601"/>
      <x:c r="O246" s="602"/>
    </x:row>
    <x:row r="247">
      <x:c r="A247" s="580" t="n">
        <x:v>46352</x:v>
      </x:c>
      <x:c r="B247" s="581" t="str">
        <x:v>Thurs</x:v>
      </x:c>
      <x:c r="C247" s="581" t="n">
        <x:v>11</x:v>
      </x:c>
      <x:c r="D247" s="581" t="str">
        <x:v>CE 3211</x:v>
      </x:c>
      <x:c r="E247" s="581" t="str">
        <x:v>Regular</x:v>
      </x:c>
      <x:c r="F247" s="601" t="str">
        <x:v>MKI/ATB</x:v>
      </x:c>
      <x:c r="G247" s="601" t="str">
        <x:v>5th • 11:30 AM–12:20 PM • Room 406</x:v>
      </x:c>
      <x:c r="H247" s="601" t="str">
        <x:v>THURS P5</x:v>
      </x:c>
      <x:c r="I247" s="601" t="str">
        <x:f>IF(E247="Extra",IF(AND(A247&lt;&gt;"",D247&lt;&gt;""),"Yes",""),IF(COUNTIF('Routine &amp; Holidays'!$M$8:$M$35,A247)&gt;0,"No",IF(D247="BECM 3204",IF(H247=Dashboard!$C$5,"Yes","No"),IF(D247="BECM 3208",IF(H247=Dashboard!$C$6,"Yes","No"),IF(D247="CE 3224",IF(H247=Dashboard!$C$7,"Yes","No"),IF(D247="BECM 3200",IF(Dashboard!$C$8="Every Week","Yes",IF(Dashboard!$C$8="Odd Weeks",IF(MOD(C247,2)=1,"Yes","No"),IF(MOD(C247,2)=0,"Yes","No"))),"Yes"))))))</x:f>
        <x:v>Yes</x:v>
      </x:c>
      <x:c r="J247" s="601"/>
      <x:c r="K247" s="601" t="str">
        <x:v>None</x:v>
      </x:c>
      <x:c r="L247" s="601"/>
      <x:c r="M247" s="601"/>
      <x:c r="N247" s="601"/>
      <x:c r="O247" s="602"/>
    </x:row>
    <x:row r="248">
      <x:c r="A248" s="580" t="n">
        <x:v>46352</x:v>
      </x:c>
      <x:c r="B248" s="581" t="str">
        <x:v>Thurs</x:v>
      </x:c>
      <x:c r="C248" s="581" t="n">
        <x:v>11</x:v>
      </x:c>
      <x:c r="D248" s="581" t="str">
        <x:v>BECM 3201</x:v>
      </x:c>
      <x:c r="E248" s="581" t="str">
        <x:v>Regular</x:v>
      </x:c>
      <x:c r="F248" s="601" t="str">
        <x:v>MR/MRA</x:v>
      </x:c>
      <x:c r="G248" s="601" t="str">
        <x:v>6th • 12:20 PM–01:10 PM • Room 406</x:v>
      </x:c>
      <x:c r="H248" s="601" t="str">
        <x:v>THURS P6</x:v>
      </x:c>
      <x:c r="I248" s="601" t="str">
        <x:f>IF(E248="Extra",IF(AND(A248&lt;&gt;"",D248&lt;&gt;""),"Yes",""),IF(COUNTIF('Routine &amp; Holidays'!$M$8:$M$35,A248)&gt;0,"No",IF(D248="BECM 3204",IF(H248=Dashboard!$C$5,"Yes","No"),IF(D248="BECM 3208",IF(H248=Dashboard!$C$6,"Yes","No"),IF(D248="CE 3224",IF(H248=Dashboard!$C$7,"Yes","No"),IF(D248="BECM 3200",IF(Dashboard!$C$8="Every Week","Yes",IF(Dashboard!$C$8="Odd Weeks",IF(MOD(C248,2)=1,"Yes","No"),IF(MOD(C248,2)=0,"Yes","No"))),"Yes"))))))</x:f>
        <x:v>Yes</x:v>
      </x:c>
      <x:c r="J248" s="601"/>
      <x:c r="K248" s="601" t="str">
        <x:v>None</x:v>
      </x:c>
      <x:c r="L248" s="601"/>
      <x:c r="M248" s="601"/>
      <x:c r="N248" s="601"/>
      <x:c r="O248" s="602"/>
    </x:row>
    <x:row r="249">
      <x:c r="A249" s="580" t="n">
        <x:v>46355</x:v>
      </x:c>
      <x:c r="B249" s="581" t="str">
        <x:v>Sun</x:v>
      </x:c>
      <x:c r="C249" s="581" t="n">
        <x:v>12</x:v>
      </x:c>
      <x:c r="D249" s="581" t="str">
        <x:v>BECM 3204</x:v>
      </x:c>
      <x:c r="E249" s="581" t="str">
        <x:v>Regular</x:v>
      </x:c>
      <x:c r="F249" s="601" t="str">
        <x:v>HRS/MR</x:v>
      </x:c>
      <x:c r="G249" s="601" t="str">
        <x:v>7-9 • 02:30 PM–05:00 PM • Room 404</x:v>
      </x:c>
      <x:c r="H249" s="601" t="str">
        <x:v>Sun PM</x:v>
      </x:c>
      <x:c r="I249" s="601" t="str">
        <x:f>IF(E249="Extra",IF(AND(A249&lt;&gt;"",D249&lt;&gt;""),"Yes",""),IF(COUNTIF('Routine &amp; Holidays'!$M$8:$M$35,A249)&gt;0,"No",IF(D249="BECM 3204",IF(H249=Dashboard!$C$5,"Yes","No"),IF(D249="BECM 3208",IF(H249=Dashboard!$C$6,"Yes","No"),IF(D249="CE 3224",IF(H249=Dashboard!$C$7,"Yes","No"),IF(D249="BECM 3200",IF(Dashboard!$C$8="Every Week","Yes",IF(Dashboard!$C$8="Odd Weeks",IF(MOD(C249,2)=1,"Yes","No"),IF(MOD(C249,2)=0,"Yes","No"))),"Yes"))))))</x:f>
        <x:v>Yes</x:v>
      </x:c>
      <x:c r="J249" s="601"/>
      <x:c r="K249" s="601" t="str">
        <x:v>None</x:v>
      </x:c>
      <x:c r="L249" s="601"/>
      <x:c r="M249" s="601"/>
      <x:c r="N249" s="601"/>
      <x:c r="O249" s="602"/>
    </x:row>
    <x:row r="250">
      <x:c r="A250" s="580" t="n">
        <x:v>46355</x:v>
      </x:c>
      <x:c r="B250" s="581" t="str">
        <x:v>Sun</x:v>
      </x:c>
      <x:c r="C250" s="581" t="n">
        <x:v>12</x:v>
      </x:c>
      <x:c r="D250" s="581" t="str">
        <x:v>CE 3213</x:v>
      </x:c>
      <x:c r="E250" s="581" t="str">
        <x:v>Regular</x:v>
      </x:c>
      <x:c r="F250" s="601" t="str">
        <x:v>HRS</x:v>
      </x:c>
      <x:c r="G250" s="601" t="str">
        <x:v>4th • 10:40 AM–11:30 AM • Room 501</x:v>
      </x:c>
      <x:c r="H250" s="601" t="str">
        <x:v>SUN P4</x:v>
      </x:c>
      <x:c r="I250" s="601" t="str">
        <x:f>IF(E250="Extra",IF(AND(A250&lt;&gt;"",D250&lt;&gt;""),"Yes",""),IF(COUNTIF('Routine &amp; Holidays'!$M$8:$M$35,A250)&gt;0,"No",IF(D250="BECM 3204",IF(H250=Dashboard!$C$5,"Yes","No"),IF(D250="BECM 3208",IF(H250=Dashboard!$C$6,"Yes","No"),IF(D250="CE 3224",IF(H250=Dashboard!$C$7,"Yes","No"),IF(D250="BECM 3200",IF(Dashboard!$C$8="Every Week","Yes",IF(Dashboard!$C$8="Odd Weeks",IF(MOD(C250,2)=1,"Yes","No"),IF(MOD(C250,2)=0,"Yes","No"))),"Yes"))))))</x:f>
        <x:v>Yes</x:v>
      </x:c>
      <x:c r="J250" s="601"/>
      <x:c r="K250" s="601" t="str">
        <x:v>None</x:v>
      </x:c>
      <x:c r="L250" s="601"/>
      <x:c r="M250" s="601"/>
      <x:c r="N250" s="601"/>
      <x:c r="O250" s="602"/>
    </x:row>
    <x:row r="251">
      <x:c r="A251" s="580" t="n">
        <x:v>46355</x:v>
      </x:c>
      <x:c r="B251" s="581" t="str">
        <x:v>Sun</x:v>
      </x:c>
      <x:c r="C251" s="581" t="n">
        <x:v>12</x:v>
      </x:c>
      <x:c r="D251" s="581" t="str">
        <x:v>CE 3223</x:v>
      </x:c>
      <x:c r="E251" s="581" t="str">
        <x:v>Regular</x:v>
      </x:c>
      <x:c r="F251" s="601" t="str">
        <x:v>MSA</x:v>
      </x:c>
      <x:c r="G251" s="601" t="str">
        <x:v>5th • 11:30 AM–12:20 PM • Room 501</x:v>
      </x:c>
      <x:c r="H251" s="601" t="str">
        <x:v>SUN P5</x:v>
      </x:c>
      <x:c r="I251" s="601" t="str">
        <x:f>IF(E251="Extra",IF(AND(A251&lt;&gt;"",D251&lt;&gt;""),"Yes",""),IF(COUNTIF('Routine &amp; Holidays'!$M$8:$M$35,A251)&gt;0,"No",IF(D251="BECM 3204",IF(H251=Dashboard!$C$5,"Yes","No"),IF(D251="BECM 3208",IF(H251=Dashboard!$C$6,"Yes","No"),IF(D251="CE 3224",IF(H251=Dashboard!$C$7,"Yes","No"),IF(D251="BECM 3200",IF(Dashboard!$C$8="Every Week","Yes",IF(Dashboard!$C$8="Odd Weeks",IF(MOD(C251,2)=1,"Yes","No"),IF(MOD(C251,2)=0,"Yes","No"))),"Yes"))))))</x:f>
        <x:v>Yes</x:v>
      </x:c>
      <x:c r="J251" s="601"/>
      <x:c r="K251" s="601" t="str">
        <x:v>None</x:v>
      </x:c>
      <x:c r="L251" s="601"/>
      <x:c r="M251" s="601"/>
      <x:c r="N251" s="601"/>
      <x:c r="O251" s="602"/>
    </x:row>
    <x:row r="252">
      <x:c r="A252" s="580" t="n">
        <x:v>46355</x:v>
      </x:c>
      <x:c r="B252" s="581" t="str">
        <x:v>Sun</x:v>
      </x:c>
      <x:c r="C252" s="581" t="n">
        <x:v>12</x:v>
      </x:c>
      <x:c r="D252" s="581" t="str">
        <x:v>CE 3211</x:v>
      </x:c>
      <x:c r="E252" s="581" t="str">
        <x:v>Regular</x:v>
      </x:c>
      <x:c r="F252" s="601" t="str">
        <x:v>MKI</x:v>
      </x:c>
      <x:c r="G252" s="601" t="str">
        <x:v>6th • 12:20 PM–01:10 PM • Room 501</x:v>
      </x:c>
      <x:c r="H252" s="601" t="str">
        <x:v>SUN P6</x:v>
      </x:c>
      <x:c r="I252" s="601" t="str">
        <x:f>IF(E252="Extra",IF(AND(A252&lt;&gt;"",D252&lt;&gt;""),"Yes",""),IF(COUNTIF('Routine &amp; Holidays'!$M$8:$M$35,A252)&gt;0,"No",IF(D252="BECM 3204",IF(H252=Dashboard!$C$5,"Yes","No"),IF(D252="BECM 3208",IF(H252=Dashboard!$C$6,"Yes","No"),IF(D252="CE 3224",IF(H252=Dashboard!$C$7,"Yes","No"),IF(D252="BECM 3200",IF(Dashboard!$C$8="Every Week","Yes",IF(Dashboard!$C$8="Odd Weeks",IF(MOD(C252,2)=1,"Yes","No"),IF(MOD(C252,2)=0,"Yes","No"))),"Yes"))))))</x:f>
        <x:v>Yes</x:v>
      </x:c>
      <x:c r="J252" s="601"/>
      <x:c r="K252" s="601" t="str">
        <x:v>None</x:v>
      </x:c>
      <x:c r="L252" s="601"/>
      <x:c r="M252" s="601"/>
      <x:c r="N252" s="601"/>
      <x:c r="O252" s="602"/>
    </x:row>
    <x:row r="253">
      <x:c r="A253" s="580" t="n">
        <x:v>46356</x:v>
      </x:c>
      <x:c r="B253" s="581" t="str">
        <x:v>Mon</x:v>
      </x:c>
      <x:c r="C253" s="581" t="n">
        <x:v>12</x:v>
      </x:c>
      <x:c r="D253" s="581" t="str">
        <x:v>BECM 3200</x:v>
      </x:c>
      <x:c r="E253" s="581" t="str">
        <x:v>Regular</x:v>
      </x:c>
      <x:c r="F253" s="601" t="str">
        <x:v>ALL</x:v>
      </x:c>
      <x:c r="G253" s="601" t="str">
        <x:v>7-9 • 02:30 PM–05:00 PM</x:v>
      </x:c>
      <x:c r="H253" s="601" t="str">
        <x:v>Mon PM</x:v>
      </x:c>
      <x:c r="I253" s="601" t="str">
        <x:f>IF(E253="Extra",IF(AND(A253&lt;&gt;"",D253&lt;&gt;""),"Yes",""),IF(COUNTIF('Routine &amp; Holidays'!$M$8:$M$35,A253)&gt;0,"No",IF(D253="BECM 3204",IF(H253=Dashboard!$C$5,"Yes","No"),IF(D253="BECM 3208",IF(H253=Dashboard!$C$6,"Yes","No"),IF(D253="CE 3224",IF(H253=Dashboard!$C$7,"Yes","No"),IF(D253="BECM 3200",IF(Dashboard!$C$8="Every Week","Yes",IF(Dashboard!$C$8="Odd Weeks",IF(MOD(C253,2)=1,"Yes","No"),IF(MOD(C253,2)=0,"Yes","No"))),"Yes"))))))</x:f>
        <x:v>No</x:v>
      </x:c>
      <x:c r="J253" s="601"/>
      <x:c r="K253" s="601" t="str">
        <x:v>None</x:v>
      </x:c>
      <x:c r="L253" s="601"/>
      <x:c r="M253" s="601"/>
      <x:c r="N253" s="601"/>
      <x:c r="O253" s="602"/>
    </x:row>
    <x:row r="254">
      <x:c r="A254" s="580" t="n">
        <x:v>46356</x:v>
      </x:c>
      <x:c r="B254" s="581" t="str">
        <x:v>Mon</x:v>
      </x:c>
      <x:c r="C254" s="581" t="n">
        <x:v>12</x:v>
      </x:c>
      <x:c r="D254" s="581" t="str">
        <x:v>CE 3223</x:v>
      </x:c>
      <x:c r="E254" s="581" t="str">
        <x:v>Regular</x:v>
      </x:c>
      <x:c r="F254" s="601" t="str">
        <x:v>MHI/MSA</x:v>
      </x:c>
      <x:c r="G254" s="601" t="str">
        <x:v>3rd • 09:40 AM–10:30 AM • Room 404</x:v>
      </x:c>
      <x:c r="H254" s="601" t="str">
        <x:v>MON P3</x:v>
      </x:c>
      <x:c r="I254" s="601" t="str">
        <x:f>IF(E254="Extra",IF(AND(A254&lt;&gt;"",D254&lt;&gt;""),"Yes",""),IF(COUNTIF('Routine &amp; Holidays'!$M$8:$M$35,A254)&gt;0,"No",IF(D254="BECM 3204",IF(H254=Dashboard!$C$5,"Yes","No"),IF(D254="BECM 3208",IF(H254=Dashboard!$C$6,"Yes","No"),IF(D254="CE 3224",IF(H254=Dashboard!$C$7,"Yes","No"),IF(D254="BECM 3200",IF(Dashboard!$C$8="Every Week","Yes",IF(Dashboard!$C$8="Odd Weeks",IF(MOD(C254,2)=1,"Yes","No"),IF(MOD(C254,2)=0,"Yes","No"))),"Yes"))))))</x:f>
        <x:v>Yes</x:v>
      </x:c>
      <x:c r="J254" s="601"/>
      <x:c r="K254" s="601" t="str">
        <x:v>None</x:v>
      </x:c>
      <x:c r="L254" s="601"/>
      <x:c r="M254" s="601"/>
      <x:c r="N254" s="601"/>
      <x:c r="O254" s="602"/>
    </x:row>
    <x:row r="255">
      <x:c r="A255" s="580" t="n">
        <x:v>46356</x:v>
      </x:c>
      <x:c r="B255" s="581" t="str">
        <x:v>Mon</x:v>
      </x:c>
      <x:c r="C255" s="581" t="n">
        <x:v>12</x:v>
      </x:c>
      <x:c r="D255" s="581" t="str">
        <x:v>BECM 3201</x:v>
      </x:c>
      <x:c r="E255" s="581" t="str">
        <x:v>Regular</x:v>
      </x:c>
      <x:c r="F255" s="601" t="str">
        <x:v>MR</x:v>
      </x:c>
      <x:c r="G255" s="601" t="str">
        <x:v>5th • 11:30 AM–12:20 PM • Room 405</x:v>
      </x:c>
      <x:c r="H255" s="601" t="str">
        <x:v>MON P5</x:v>
      </x:c>
      <x:c r="I255" s="601" t="str">
        <x:f>IF(E255="Extra",IF(AND(A255&lt;&gt;"",D255&lt;&gt;""),"Yes",""),IF(COUNTIF('Routine &amp; Holidays'!$M$8:$M$35,A255)&gt;0,"No",IF(D255="BECM 3204",IF(H255=Dashboard!$C$5,"Yes","No"),IF(D255="BECM 3208",IF(H255=Dashboard!$C$6,"Yes","No"),IF(D255="CE 3224",IF(H255=Dashboard!$C$7,"Yes","No"),IF(D255="BECM 3200",IF(Dashboard!$C$8="Every Week","Yes",IF(Dashboard!$C$8="Odd Weeks",IF(MOD(C255,2)=1,"Yes","No"),IF(MOD(C255,2)=0,"Yes","No"))),"Yes"))))))</x:f>
        <x:v>Yes</x:v>
      </x:c>
      <x:c r="J255" s="601"/>
      <x:c r="K255" s="601" t="str">
        <x:v>None</x:v>
      </x:c>
      <x:c r="L255" s="601"/>
      <x:c r="M255" s="601"/>
      <x:c r="N255" s="601"/>
      <x:c r="O255" s="602"/>
    </x:row>
    <x:row r="256">
      <x:c r="A256" s="580" t="n">
        <x:v>46356</x:v>
      </x:c>
      <x:c r="B256" s="581" t="str">
        <x:v>Mon</x:v>
      </x:c>
      <x:c r="C256" s="581" t="n">
        <x:v>12</x:v>
      </x:c>
      <x:c r="D256" s="581" t="str">
        <x:v>BECM 3205</x:v>
      </x:c>
      <x:c r="E256" s="581" t="str">
        <x:v>Regular</x:v>
      </x:c>
      <x:c r="F256" s="601" t="str">
        <x:v>AAM</x:v>
      </x:c>
      <x:c r="G256" s="601" t="str">
        <x:v>6th • 12:20 PM–01:10 PM • Room 405</x:v>
      </x:c>
      <x:c r="H256" s="601" t="str">
        <x:v>MON P6</x:v>
      </x:c>
      <x:c r="I256" s="601" t="str">
        <x:f>IF(E256="Extra",IF(AND(A256&lt;&gt;"",D256&lt;&gt;""),"Yes",""),IF(COUNTIF('Routine &amp; Holidays'!$M$8:$M$35,A256)&gt;0,"No",IF(D256="BECM 3204",IF(H256=Dashboard!$C$5,"Yes","No"),IF(D256="BECM 3208",IF(H256=Dashboard!$C$6,"Yes","No"),IF(D256="CE 3224",IF(H256=Dashboard!$C$7,"Yes","No"),IF(D256="BECM 3200",IF(Dashboard!$C$8="Every Week","Yes",IF(Dashboard!$C$8="Odd Weeks",IF(MOD(C256,2)=1,"Yes","No"),IF(MOD(C256,2)=0,"Yes","No"))),"Yes"))))))</x:f>
        <x:v>Yes</x:v>
      </x:c>
      <x:c r="J256" s="601"/>
      <x:c r="K256" s="601" t="str">
        <x:v>None</x:v>
      </x:c>
      <x:c r="L256" s="601"/>
      <x:c r="M256" s="601"/>
      <x:c r="N256" s="601"/>
      <x:c r="O256" s="602"/>
    </x:row>
    <x:row r="257">
      <x:c r="A257" s="580" t="n">
        <x:v>46357</x:v>
      </x:c>
      <x:c r="B257" s="581" t="str">
        <x:v>Tues</x:v>
      </x:c>
      <x:c r="C257" s="581" t="n">
        <x:v>12</x:v>
      </x:c>
      <x:c r="D257" s="581" t="str">
        <x:v>BECM 3208</x:v>
      </x:c>
      <x:c r="E257" s="581" t="str">
        <x:v>Regular</x:v>
      </x:c>
      <x:c r="F257" s="601" t="str">
        <x:v>MSH/MSA</x:v>
      </x:c>
      <x:c r="G257" s="601" t="str">
        <x:v>7-9 • 02:30 PM–05:00 PM</x:v>
      </x:c>
      <x:c r="H257" s="601" t="str">
        <x:v>Tue PM</x:v>
      </x:c>
      <x:c r="I257" s="601" t="str">
        <x:f>IF(E257="Extra",IF(AND(A257&lt;&gt;"",D257&lt;&gt;""),"Yes",""),IF(COUNTIF('Routine &amp; Holidays'!$M$8:$M$35,A257)&gt;0,"No",IF(D257="BECM 3204",IF(H257=Dashboard!$C$5,"Yes","No"),IF(D257="BECM 3208",IF(H257=Dashboard!$C$6,"Yes","No"),IF(D257="CE 3224",IF(H257=Dashboard!$C$7,"Yes","No"),IF(D257="BECM 3200",IF(Dashboard!$C$8="Every Week","Yes",IF(Dashboard!$C$8="Odd Weeks",IF(MOD(C257,2)=1,"Yes","No"),IF(MOD(C257,2)=0,"Yes","No"))),"Yes"))))))</x:f>
        <x:v>Yes</x:v>
      </x:c>
      <x:c r="J257" s="601"/>
      <x:c r="K257" s="601" t="str">
        <x:v>None</x:v>
      </x:c>
      <x:c r="L257" s="601"/>
      <x:c r="M257" s="601"/>
      <x:c r="N257" s="601"/>
      <x:c r="O257" s="602"/>
    </x:row>
    <x:row r="258">
      <x:c r="A258" s="580" t="n">
        <x:v>46357</x:v>
      </x:c>
      <x:c r="B258" s="581" t="str">
        <x:v>Tues</x:v>
      </x:c>
      <x:c r="C258" s="581" t="n">
        <x:v>12</x:v>
      </x:c>
      <x:c r="D258" s="581" t="str">
        <x:v>CE 3224</x:v>
      </x:c>
      <x:c r="E258" s="581" t="str">
        <x:v>Regular</x:v>
      </x:c>
      <x:c r="F258" s="601" t="str">
        <x:v>MHI/MRA</x:v>
      </x:c>
      <x:c r="G258" s="601" t="str">
        <x:v>1-3 • 08:00 AM–10:30 AM</x:v>
      </x:c>
      <x:c r="H258" s="601" t="str">
        <x:v>Tue AM</x:v>
      </x:c>
      <x:c r="I258" s="601" t="str">
        <x:f>IF(E258="Extra",IF(AND(A258&lt;&gt;"",D258&lt;&gt;""),"Yes",""),IF(COUNTIF('Routine &amp; Holidays'!$M$8:$M$35,A258)&gt;0,"No",IF(D258="BECM 3204",IF(H258=Dashboard!$C$5,"Yes","No"),IF(D258="BECM 3208",IF(H258=Dashboard!$C$6,"Yes","No"),IF(D258="CE 3224",IF(H258=Dashboard!$C$7,"Yes","No"),IF(D258="BECM 3200",IF(Dashboard!$C$8="Every Week","Yes",IF(Dashboard!$C$8="Odd Weeks",IF(MOD(C258,2)=1,"Yes","No"),IF(MOD(C258,2)=0,"Yes","No"))),"Yes"))))))</x:f>
        <x:v>Yes</x:v>
      </x:c>
      <x:c r="J258" s="601"/>
      <x:c r="K258" s="601" t="str">
        <x:v>None</x:v>
      </x:c>
      <x:c r="L258" s="601"/>
      <x:c r="M258" s="601"/>
      <x:c r="N258" s="601"/>
      <x:c r="O258" s="602"/>
    </x:row>
    <x:row r="259">
      <x:c r="A259" s="580" t="n">
        <x:v>46357</x:v>
      </x:c>
      <x:c r="B259" s="581" t="str">
        <x:v>Tues</x:v>
      </x:c>
      <x:c r="C259" s="581" t="n">
        <x:v>12</x:v>
      </x:c>
      <x:c r="D259" s="581" t="str">
        <x:v>CE 3213</x:v>
      </x:c>
      <x:c r="E259" s="581" t="str">
        <x:v>Regular</x:v>
      </x:c>
      <x:c r="F259" s="601" t="str">
        <x:v>MKI</x:v>
      </x:c>
      <x:c r="G259" s="601" t="str">
        <x:v>5th • 11:30 AM–12:20 PM • Room 405</x:v>
      </x:c>
      <x:c r="H259" s="601" t="str">
        <x:v>TUES P5</x:v>
      </x:c>
      <x:c r="I259" s="601" t="str">
        <x:f>IF(E259="Extra",IF(AND(A259&lt;&gt;"",D259&lt;&gt;""),"Yes",""),IF(COUNTIF('Routine &amp; Holidays'!$M$8:$M$35,A259)&gt;0,"No",IF(D259="BECM 3204",IF(H259=Dashboard!$C$5,"Yes","No"),IF(D259="BECM 3208",IF(H259=Dashboard!$C$6,"Yes","No"),IF(D259="CE 3224",IF(H259=Dashboard!$C$7,"Yes","No"),IF(D259="BECM 3200",IF(Dashboard!$C$8="Every Week","Yes",IF(Dashboard!$C$8="Odd Weeks",IF(MOD(C259,2)=1,"Yes","No"),IF(MOD(C259,2)=0,"Yes","No"))),"Yes"))))))</x:f>
        <x:v>Yes</x:v>
      </x:c>
      <x:c r="J259" s="601"/>
      <x:c r="K259" s="601" t="str">
        <x:v>None</x:v>
      </x:c>
      <x:c r="L259" s="601"/>
      <x:c r="M259" s="601"/>
      <x:c r="N259" s="601"/>
      <x:c r="O259" s="602"/>
    </x:row>
    <x:row r="260">
      <x:c r="A260" s="580" t="n">
        <x:v>46357</x:v>
      </x:c>
      <x:c r="B260" s="581" t="str">
        <x:v>Tues</x:v>
      </x:c>
      <x:c r="C260" s="581" t="n">
        <x:v>12</x:v>
      </x:c>
      <x:c r="D260" s="581" t="str">
        <x:v>BECM 3201</x:v>
      </x:c>
      <x:c r="E260" s="581" t="str">
        <x:v>Regular</x:v>
      </x:c>
      <x:c r="F260" s="601" t="str">
        <x:v>MRA</x:v>
      </x:c>
      <x:c r="G260" s="601" t="str">
        <x:v>6th • 12:20 PM–01:10 PM • Room 405</x:v>
      </x:c>
      <x:c r="H260" s="601" t="str">
        <x:v>TUES P6</x:v>
      </x:c>
      <x:c r="I260" s="601" t="str">
        <x:f>IF(E260="Extra",IF(AND(A260&lt;&gt;"",D260&lt;&gt;""),"Yes",""),IF(COUNTIF('Routine &amp; Holidays'!$M$8:$M$35,A260)&gt;0,"No",IF(D260="BECM 3204",IF(H260=Dashboard!$C$5,"Yes","No"),IF(D260="BECM 3208",IF(H260=Dashboard!$C$6,"Yes","No"),IF(D260="CE 3224",IF(H260=Dashboard!$C$7,"Yes","No"),IF(D260="BECM 3200",IF(Dashboard!$C$8="Every Week","Yes",IF(Dashboard!$C$8="Odd Weeks",IF(MOD(C260,2)=1,"Yes","No"),IF(MOD(C260,2)=0,"Yes","No"))),"Yes"))))))</x:f>
        <x:v>Yes</x:v>
      </x:c>
      <x:c r="J260" s="601"/>
      <x:c r="K260" s="601" t="str">
        <x:v>None</x:v>
      </x:c>
      <x:c r="L260" s="601"/>
      <x:c r="M260" s="601"/>
      <x:c r="N260" s="601"/>
      <x:c r="O260" s="602"/>
    </x:row>
    <x:row r="261">
      <x:c r="A261" s="580" t="n">
        <x:v>46358</x:v>
      </x:c>
      <x:c r="B261" s="581" t="str">
        <x:v>Wed</x:v>
      </x:c>
      <x:c r="C261" s="581" t="n">
        <x:v>12</x:v>
      </x:c>
      <x:c r="D261" s="581" t="str">
        <x:v>BECM 3208</x:v>
      </x:c>
      <x:c r="E261" s="581" t="str">
        <x:v>Regular</x:v>
      </x:c>
      <x:c r="F261" s="601" t="str">
        <x:v>MSH/MSA</x:v>
      </x:c>
      <x:c r="G261" s="601" t="str">
        <x:v>7-9 • 02:30 PM–05:00 PM • Room 501</x:v>
      </x:c>
      <x:c r="H261" s="601" t="str">
        <x:v>Wed PM</x:v>
      </x:c>
      <x:c r="I261" s="601" t="str">
        <x:f>IF(E261="Extra",IF(AND(A261&lt;&gt;"",D261&lt;&gt;""),"Yes",""),IF(COUNTIF('Routine &amp; Holidays'!$M$8:$M$35,A261)&gt;0,"No",IF(D261="BECM 3204",IF(H261=Dashboard!$C$5,"Yes","No"),IF(D261="BECM 3208",IF(H261=Dashboard!$C$6,"Yes","No"),IF(D261="CE 3224",IF(H261=Dashboard!$C$7,"Yes","No"),IF(D261="BECM 3200",IF(Dashboard!$C$8="Every Week","Yes",IF(Dashboard!$C$8="Odd Weeks",IF(MOD(C261,2)=1,"Yes","No"),IF(MOD(C261,2)=0,"Yes","No"))),"Yes"))))))</x:f>
        <x:v>No</x:v>
      </x:c>
      <x:c r="J261" s="601"/>
      <x:c r="K261" s="601" t="str">
        <x:v>None</x:v>
      </x:c>
      <x:c r="L261" s="601"/>
      <x:c r="M261" s="601"/>
      <x:c r="N261" s="601"/>
      <x:c r="O261" s="602"/>
    </x:row>
    <x:row r="262">
      <x:c r="A262" s="580" t="n">
        <x:v>46358</x:v>
      </x:c>
      <x:c r="B262" s="581" t="str">
        <x:v>Wed</x:v>
      </x:c>
      <x:c r="C262" s="581" t="n">
        <x:v>12</x:v>
      </x:c>
      <x:c r="D262" s="581" t="str">
        <x:v>CE 3213</x:v>
      </x:c>
      <x:c r="E262" s="581" t="str">
        <x:v>Regular</x:v>
      </x:c>
      <x:c r="F262" s="601" t="str">
        <x:v>HRS/MKI</x:v>
      </x:c>
      <x:c r="G262" s="601" t="str">
        <x:v>3rd • 09:40 AM–10:30 AM • Room 501</x:v>
      </x:c>
      <x:c r="H262" s="601" t="str">
        <x:v>WED P3</x:v>
      </x:c>
      <x:c r="I262" s="601" t="str">
        <x:f>IF(E262="Extra",IF(AND(A262&lt;&gt;"",D262&lt;&gt;""),"Yes",""),IF(COUNTIF('Routine &amp; Holidays'!$M$8:$M$35,A262)&gt;0,"No",IF(D262="BECM 3204",IF(H262=Dashboard!$C$5,"Yes","No"),IF(D262="BECM 3208",IF(H262=Dashboard!$C$6,"Yes","No"),IF(D262="CE 3224",IF(H262=Dashboard!$C$7,"Yes","No"),IF(D262="BECM 3200",IF(Dashboard!$C$8="Every Week","Yes",IF(Dashboard!$C$8="Odd Weeks",IF(MOD(C262,2)=1,"Yes","No"),IF(MOD(C262,2)=0,"Yes","No"))),"Yes"))))))</x:f>
        <x:v>Yes</x:v>
      </x:c>
      <x:c r="J262" s="601"/>
      <x:c r="K262" s="601" t="str">
        <x:v>None</x:v>
      </x:c>
      <x:c r="L262" s="601"/>
      <x:c r="M262" s="601"/>
      <x:c r="N262" s="601"/>
      <x:c r="O262" s="602"/>
    </x:row>
    <x:row r="263">
      <x:c r="A263" s="580" t="n">
        <x:v>46358</x:v>
      </x:c>
      <x:c r="B263" s="581" t="str">
        <x:v>Wed</x:v>
      </x:c>
      <x:c r="C263" s="581" t="n">
        <x:v>12</x:v>
      </x:c>
      <x:c r="D263" s="581" t="str">
        <x:v>CE 3211</x:v>
      </x:c>
      <x:c r="E263" s="581" t="str">
        <x:v>Regular</x:v>
      </x:c>
      <x:c r="F263" s="601" t="str">
        <x:v>ATB</x:v>
      </x:c>
      <x:c r="G263" s="601" t="str">
        <x:v>4th • 10:40 AM–11:30 AM • Room 501</x:v>
      </x:c>
      <x:c r="H263" s="601" t="str">
        <x:v>WED P4</x:v>
      </x:c>
      <x:c r="I263" s="601" t="str">
        <x:f>IF(E263="Extra",IF(AND(A263&lt;&gt;"",D263&lt;&gt;""),"Yes",""),IF(COUNTIF('Routine &amp; Holidays'!$M$8:$M$35,A263)&gt;0,"No",IF(D263="BECM 3204",IF(H263=Dashboard!$C$5,"Yes","No"),IF(D263="BECM 3208",IF(H263=Dashboard!$C$6,"Yes","No"),IF(D263="CE 3224",IF(H263=Dashboard!$C$7,"Yes","No"),IF(D263="BECM 3200",IF(Dashboard!$C$8="Every Week","Yes",IF(Dashboard!$C$8="Odd Weeks",IF(MOD(C263,2)=1,"Yes","No"),IF(MOD(C263,2)=0,"Yes","No"))),"Yes"))))))</x:f>
        <x:v>Yes</x:v>
      </x:c>
      <x:c r="J263" s="601"/>
      <x:c r="K263" s="601" t="str">
        <x:v>None</x:v>
      </x:c>
      <x:c r="L263" s="601"/>
      <x:c r="M263" s="601"/>
      <x:c r="N263" s="601"/>
      <x:c r="O263" s="602"/>
    </x:row>
    <x:row r="264">
      <x:c r="A264" s="580" t="n">
        <x:v>46358</x:v>
      </x:c>
      <x:c r="B264" s="581" t="str">
        <x:v>Wed</x:v>
      </x:c>
      <x:c r="C264" s="581" t="n">
        <x:v>12</x:v>
      </x:c>
      <x:c r="D264" s="581" t="str">
        <x:v>CE 3223</x:v>
      </x:c>
      <x:c r="E264" s="581" t="str">
        <x:v>Regular</x:v>
      </x:c>
      <x:c r="F264" s="601" t="str">
        <x:v>MHI</x:v>
      </x:c>
      <x:c r="G264" s="601" t="str">
        <x:v>5th • 11:30 AM–12:20 PM • Room 501</x:v>
      </x:c>
      <x:c r="H264" s="601" t="str">
        <x:v>WED P5</x:v>
      </x:c>
      <x:c r="I264" s="601" t="str">
        <x:f>IF(E264="Extra",IF(AND(A264&lt;&gt;"",D264&lt;&gt;""),"Yes",""),IF(COUNTIF('Routine &amp; Holidays'!$M$8:$M$35,A264)&gt;0,"No",IF(D264="BECM 3204",IF(H264=Dashboard!$C$5,"Yes","No"),IF(D264="BECM 3208",IF(H264=Dashboard!$C$6,"Yes","No"),IF(D264="CE 3224",IF(H264=Dashboard!$C$7,"Yes","No"),IF(D264="BECM 3200",IF(Dashboard!$C$8="Every Week","Yes",IF(Dashboard!$C$8="Odd Weeks",IF(MOD(C264,2)=1,"Yes","No"),IF(MOD(C264,2)=0,"Yes","No"))),"Yes"))))))</x:f>
        <x:v>Yes</x:v>
      </x:c>
      <x:c r="J264" s="601"/>
      <x:c r="K264" s="601" t="str">
        <x:v>None</x:v>
      </x:c>
      <x:c r="L264" s="601"/>
      <x:c r="M264" s="601"/>
      <x:c r="N264" s="601"/>
      <x:c r="O264" s="602"/>
    </x:row>
    <x:row r="265">
      <x:c r="A265" s="580" t="n">
        <x:v>46358</x:v>
      </x:c>
      <x:c r="B265" s="581" t="str">
        <x:v>Wed</x:v>
      </x:c>
      <x:c r="C265" s="581" t="n">
        <x:v>12</x:v>
      </x:c>
      <x:c r="D265" s="581" t="str">
        <x:v>BECM 3205</x:v>
      </x:c>
      <x:c r="E265" s="581" t="str">
        <x:v>Regular</x:v>
      </x:c>
      <x:c r="F265" s="601" t="str">
        <x:v>MSH/AAM</x:v>
      </x:c>
      <x:c r="G265" s="601" t="str">
        <x:v>6th • 12:20 PM–01:10 PM • Room 501</x:v>
      </x:c>
      <x:c r="H265" s="601" t="str">
        <x:v>WED P6</x:v>
      </x:c>
      <x:c r="I265" s="601" t="str">
        <x:f>IF(E265="Extra",IF(AND(A265&lt;&gt;"",D265&lt;&gt;""),"Yes",""),IF(COUNTIF('Routine &amp; Holidays'!$M$8:$M$35,A265)&gt;0,"No",IF(D265="BECM 3204",IF(H265=Dashboard!$C$5,"Yes","No"),IF(D265="BECM 3208",IF(H265=Dashboard!$C$6,"Yes","No"),IF(D265="CE 3224",IF(H265=Dashboard!$C$7,"Yes","No"),IF(D265="BECM 3200",IF(Dashboard!$C$8="Every Week","Yes",IF(Dashboard!$C$8="Odd Weeks",IF(MOD(C265,2)=1,"Yes","No"),IF(MOD(C265,2)=0,"Yes","No"))),"Yes"))))))</x:f>
        <x:v>Yes</x:v>
      </x:c>
      <x:c r="J265" s="601"/>
      <x:c r="K265" s="601" t="str">
        <x:v>None</x:v>
      </x:c>
      <x:c r="L265" s="601"/>
      <x:c r="M265" s="601"/>
      <x:c r="N265" s="601"/>
      <x:c r="O265" s="602"/>
    </x:row>
    <x:row r="266">
      <x:c r="A266" s="580" t="n">
        <x:v>46359</x:v>
      </x:c>
      <x:c r="B266" s="581" t="str">
        <x:v>Thurs</x:v>
      </x:c>
      <x:c r="C266" s="581" t="n">
        <x:v>12</x:v>
      </x:c>
      <x:c r="D266" s="581" t="str">
        <x:v>CE 3224</x:v>
      </x:c>
      <x:c r="E266" s="581" t="str">
        <x:v>Regular</x:v>
      </x:c>
      <x:c r="F266" s="601" t="str">
        <x:v>MHI/MRA</x:v>
      </x:c>
      <x:c r="G266" s="601" t="str">
        <x:v>7-9 • 02:30 PM–05:00 PM • Room 405</x:v>
      </x:c>
      <x:c r="H266" s="601" t="str">
        <x:v>Thu PM</x:v>
      </x:c>
      <x:c r="I266" s="601" t="str">
        <x:f>IF(E266="Extra",IF(AND(A266&lt;&gt;"",D266&lt;&gt;""),"Yes",""),IF(COUNTIF('Routine &amp; Holidays'!$M$8:$M$35,A266)&gt;0,"No",IF(D266="BECM 3204",IF(H266=Dashboard!$C$5,"Yes","No"),IF(D266="BECM 3208",IF(H266=Dashboard!$C$6,"Yes","No"),IF(D266="CE 3224",IF(H266=Dashboard!$C$7,"Yes","No"),IF(D266="BECM 3200",IF(Dashboard!$C$8="Every Week","Yes",IF(Dashboard!$C$8="Odd Weeks",IF(MOD(C266,2)=1,"Yes","No"),IF(MOD(C266,2)=0,"Yes","No"))),"Yes"))))))</x:f>
        <x:v>No</x:v>
      </x:c>
      <x:c r="J266" s="601"/>
      <x:c r="K266" s="601" t="str">
        <x:v>None</x:v>
      </x:c>
      <x:c r="L266" s="601"/>
      <x:c r="M266" s="601"/>
      <x:c r="N266" s="601"/>
      <x:c r="O266" s="602"/>
    </x:row>
    <x:row r="267">
      <x:c r="A267" s="580" t="n">
        <x:v>46359</x:v>
      </x:c>
      <x:c r="B267" s="581" t="str">
        <x:v>Thurs</x:v>
      </x:c>
      <x:c r="C267" s="581" t="n">
        <x:v>12</x:v>
      </x:c>
      <x:c r="D267" s="581" t="str">
        <x:v>BECM 3204</x:v>
      </x:c>
      <x:c r="E267" s="581" t="str">
        <x:v>Regular</x:v>
      </x:c>
      <x:c r="F267" s="601" t="str">
        <x:v>HRS/MR</x:v>
      </x:c>
      <x:c r="G267" s="601" t="str">
        <x:v>1-3 • 08:00 AM–10:30 AM</x:v>
      </x:c>
      <x:c r="H267" s="601" t="str">
        <x:v>Thu AM</x:v>
      </x:c>
      <x:c r="I267" s="601" t="str">
        <x:f>IF(E267="Extra",IF(AND(A267&lt;&gt;"",D267&lt;&gt;""),"Yes",""),IF(COUNTIF('Routine &amp; Holidays'!$M$8:$M$35,A267)&gt;0,"No",IF(D267="BECM 3204",IF(H267=Dashboard!$C$5,"Yes","No"),IF(D267="BECM 3208",IF(H267=Dashboard!$C$6,"Yes","No"),IF(D267="CE 3224",IF(H267=Dashboard!$C$7,"Yes","No"),IF(D267="BECM 3200",IF(Dashboard!$C$8="Every Week","Yes",IF(Dashboard!$C$8="Odd Weeks",IF(MOD(C267,2)=1,"Yes","No"),IF(MOD(C267,2)=0,"Yes","No"))),"Yes"))))))</x:f>
        <x:v>No</x:v>
      </x:c>
      <x:c r="J267" s="601"/>
      <x:c r="K267" s="601" t="str">
        <x:v>None</x:v>
      </x:c>
      <x:c r="L267" s="601"/>
      <x:c r="M267" s="601"/>
      <x:c r="N267" s="601"/>
      <x:c r="O267" s="602"/>
    </x:row>
    <x:row r="268">
      <x:c r="A268" s="580" t="n">
        <x:v>46359</x:v>
      </x:c>
      <x:c r="B268" s="581" t="str">
        <x:v>Thurs</x:v>
      </x:c>
      <x:c r="C268" s="581" t="n">
        <x:v>12</x:v>
      </x:c>
      <x:c r="D268" s="581" t="str">
        <x:v>BECM 3205</x:v>
      </x:c>
      <x:c r="E268" s="581" t="str">
        <x:v>Regular</x:v>
      </x:c>
      <x:c r="F268" s="601" t="str">
        <x:v>MSH</x:v>
      </x:c>
      <x:c r="G268" s="601" t="str">
        <x:v>4th • 10:40 AM–11:30 AM • Room 406</x:v>
      </x:c>
      <x:c r="H268" s="601" t="str">
        <x:v>THURS P4</x:v>
      </x:c>
      <x:c r="I268" s="601" t="str">
        <x:f>IF(E268="Extra",IF(AND(A268&lt;&gt;"",D268&lt;&gt;""),"Yes",""),IF(COUNTIF('Routine &amp; Holidays'!$M$8:$M$35,A268)&gt;0,"No",IF(D268="BECM 3204",IF(H268=Dashboard!$C$5,"Yes","No"),IF(D268="BECM 3208",IF(H268=Dashboard!$C$6,"Yes","No"),IF(D268="CE 3224",IF(H268=Dashboard!$C$7,"Yes","No"),IF(D268="BECM 3200",IF(Dashboard!$C$8="Every Week","Yes",IF(Dashboard!$C$8="Odd Weeks",IF(MOD(C268,2)=1,"Yes","No"),IF(MOD(C268,2)=0,"Yes","No"))),"Yes"))))))</x:f>
        <x:v>Yes</x:v>
      </x:c>
      <x:c r="J268" s="601"/>
      <x:c r="K268" s="601" t="str">
        <x:v>None</x:v>
      </x:c>
      <x:c r="L268" s="601"/>
      <x:c r="M268" s="601"/>
      <x:c r="N268" s="601"/>
      <x:c r="O268" s="602"/>
    </x:row>
    <x:row r="269">
      <x:c r="A269" s="580" t="n">
        <x:v>46359</x:v>
      </x:c>
      <x:c r="B269" s="581" t="str">
        <x:v>Thurs</x:v>
      </x:c>
      <x:c r="C269" s="581" t="n">
        <x:v>12</x:v>
      </x:c>
      <x:c r="D269" s="581" t="str">
        <x:v>CE 3211</x:v>
      </x:c>
      <x:c r="E269" s="581" t="str">
        <x:v>Regular</x:v>
      </x:c>
      <x:c r="F269" s="601" t="str">
        <x:v>MKI/ATB</x:v>
      </x:c>
      <x:c r="G269" s="601" t="str">
        <x:v>5th • 11:30 AM–12:20 PM • Room 406</x:v>
      </x:c>
      <x:c r="H269" s="601" t="str">
        <x:v>THURS P5</x:v>
      </x:c>
      <x:c r="I269" s="601" t="str">
        <x:f>IF(E269="Extra",IF(AND(A269&lt;&gt;"",D269&lt;&gt;""),"Yes",""),IF(COUNTIF('Routine &amp; Holidays'!$M$8:$M$35,A269)&gt;0,"No",IF(D269="BECM 3204",IF(H269=Dashboard!$C$5,"Yes","No"),IF(D269="BECM 3208",IF(H269=Dashboard!$C$6,"Yes","No"),IF(D269="CE 3224",IF(H269=Dashboard!$C$7,"Yes","No"),IF(D269="BECM 3200",IF(Dashboard!$C$8="Every Week","Yes",IF(Dashboard!$C$8="Odd Weeks",IF(MOD(C269,2)=1,"Yes","No"),IF(MOD(C269,2)=0,"Yes","No"))),"Yes"))))))</x:f>
        <x:v>Yes</x:v>
      </x:c>
      <x:c r="J269" s="601"/>
      <x:c r="K269" s="601" t="str">
        <x:v>None</x:v>
      </x:c>
      <x:c r="L269" s="601"/>
      <x:c r="M269" s="601"/>
      <x:c r="N269" s="601"/>
      <x:c r="O269" s="602"/>
    </x:row>
    <x:row r="270">
      <x:c r="A270" s="580" t="n">
        <x:v>46359</x:v>
      </x:c>
      <x:c r="B270" s="581" t="str">
        <x:v>Thurs</x:v>
      </x:c>
      <x:c r="C270" s="581" t="n">
        <x:v>12</x:v>
      </x:c>
      <x:c r="D270" s="581" t="str">
        <x:v>BECM 3201</x:v>
      </x:c>
      <x:c r="E270" s="581" t="str">
        <x:v>Regular</x:v>
      </x:c>
      <x:c r="F270" s="601" t="str">
        <x:v>MR/MRA</x:v>
      </x:c>
      <x:c r="G270" s="601" t="str">
        <x:v>6th • 12:20 PM–01:10 PM • Room 406</x:v>
      </x:c>
      <x:c r="H270" s="601" t="str">
        <x:v>THURS P6</x:v>
      </x:c>
      <x:c r="I270" s="601" t="str">
        <x:f>IF(E270="Extra",IF(AND(A270&lt;&gt;"",D270&lt;&gt;""),"Yes",""),IF(COUNTIF('Routine &amp; Holidays'!$M$8:$M$35,A270)&gt;0,"No",IF(D270="BECM 3204",IF(H270=Dashboard!$C$5,"Yes","No"),IF(D270="BECM 3208",IF(H270=Dashboard!$C$6,"Yes","No"),IF(D270="CE 3224",IF(H270=Dashboard!$C$7,"Yes","No"),IF(D270="BECM 3200",IF(Dashboard!$C$8="Every Week","Yes",IF(Dashboard!$C$8="Odd Weeks",IF(MOD(C270,2)=1,"Yes","No"),IF(MOD(C270,2)=0,"Yes","No"))),"Yes"))))))</x:f>
        <x:v>Yes</x:v>
      </x:c>
      <x:c r="J270" s="601"/>
      <x:c r="K270" s="601" t="str">
        <x:v>None</x:v>
      </x:c>
      <x:c r="L270" s="601"/>
      <x:c r="M270" s="601"/>
      <x:c r="N270" s="601"/>
      <x:c r="O270" s="602"/>
    </x:row>
    <x:row r="271">
      <x:c r="A271" s="580" t="n">
        <x:v>46362</x:v>
      </x:c>
      <x:c r="B271" s="581" t="str">
        <x:v>Sun</x:v>
      </x:c>
      <x:c r="C271" s="581" t="n">
        <x:v>13</x:v>
      </x:c>
      <x:c r="D271" s="581" t="str">
        <x:v>BECM 3204</x:v>
      </x:c>
      <x:c r="E271" s="581" t="str">
        <x:v>Regular</x:v>
      </x:c>
      <x:c r="F271" s="601" t="str">
        <x:v>HRS/MR</x:v>
      </x:c>
      <x:c r="G271" s="601" t="str">
        <x:v>7-9 • 02:30 PM–05:00 PM • Room 404</x:v>
      </x:c>
      <x:c r="H271" s="601" t="str">
        <x:v>Sun PM</x:v>
      </x:c>
      <x:c r="I271" s="601" t="str">
        <x:f>IF(E271="Extra",IF(AND(A271&lt;&gt;"",D271&lt;&gt;""),"Yes",""),IF(COUNTIF('Routine &amp; Holidays'!$M$8:$M$35,A271)&gt;0,"No",IF(D271="BECM 3204",IF(H271=Dashboard!$C$5,"Yes","No"),IF(D271="BECM 3208",IF(H271=Dashboard!$C$6,"Yes","No"),IF(D271="CE 3224",IF(H271=Dashboard!$C$7,"Yes","No"),IF(D271="BECM 3200",IF(Dashboard!$C$8="Every Week","Yes",IF(Dashboard!$C$8="Odd Weeks",IF(MOD(C271,2)=1,"Yes","No"),IF(MOD(C271,2)=0,"Yes","No"))),"Yes"))))))</x:f>
        <x:v>Yes</x:v>
      </x:c>
      <x:c r="J271" s="601"/>
      <x:c r="K271" s="601" t="str">
        <x:v>None</x:v>
      </x:c>
      <x:c r="L271" s="601"/>
      <x:c r="M271" s="601"/>
      <x:c r="N271" s="601"/>
      <x:c r="O271" s="602"/>
    </x:row>
    <x:row r="272">
      <x:c r="A272" s="580" t="n">
        <x:v>46362</x:v>
      </x:c>
      <x:c r="B272" s="581" t="str">
        <x:v>Sun</x:v>
      </x:c>
      <x:c r="C272" s="581" t="n">
        <x:v>13</x:v>
      </x:c>
      <x:c r="D272" s="581" t="str">
        <x:v>CE 3213</x:v>
      </x:c>
      <x:c r="E272" s="581" t="str">
        <x:v>Regular</x:v>
      </x:c>
      <x:c r="F272" s="601" t="str">
        <x:v>HRS</x:v>
      </x:c>
      <x:c r="G272" s="601" t="str">
        <x:v>4th • 10:40 AM–11:30 AM • Room 501</x:v>
      </x:c>
      <x:c r="H272" s="601" t="str">
        <x:v>SUN P4</x:v>
      </x:c>
      <x:c r="I272" s="601" t="str">
        <x:f>IF(E272="Extra",IF(AND(A272&lt;&gt;"",D272&lt;&gt;""),"Yes",""),IF(COUNTIF('Routine &amp; Holidays'!$M$8:$M$35,A272)&gt;0,"No",IF(D272="BECM 3204",IF(H272=Dashboard!$C$5,"Yes","No"),IF(D272="BECM 3208",IF(H272=Dashboard!$C$6,"Yes","No"),IF(D272="CE 3224",IF(H272=Dashboard!$C$7,"Yes","No"),IF(D272="BECM 3200",IF(Dashboard!$C$8="Every Week","Yes",IF(Dashboard!$C$8="Odd Weeks",IF(MOD(C272,2)=1,"Yes","No"),IF(MOD(C272,2)=0,"Yes","No"))),"Yes"))))))</x:f>
        <x:v>Yes</x:v>
      </x:c>
      <x:c r="J272" s="601"/>
      <x:c r="K272" s="601" t="str">
        <x:v>None</x:v>
      </x:c>
      <x:c r="L272" s="601"/>
      <x:c r="M272" s="601"/>
      <x:c r="N272" s="601"/>
      <x:c r="O272" s="602"/>
    </x:row>
    <x:row r="273">
      <x:c r="A273" s="580" t="n">
        <x:v>46362</x:v>
      </x:c>
      <x:c r="B273" s="581" t="str">
        <x:v>Sun</x:v>
      </x:c>
      <x:c r="C273" s="581" t="n">
        <x:v>13</x:v>
      </x:c>
      <x:c r="D273" s="581" t="str">
        <x:v>CE 3223</x:v>
      </x:c>
      <x:c r="E273" s="581" t="str">
        <x:v>Regular</x:v>
      </x:c>
      <x:c r="F273" s="601" t="str">
        <x:v>MSA</x:v>
      </x:c>
      <x:c r="G273" s="601" t="str">
        <x:v>5th • 11:30 AM–12:20 PM • Room 501</x:v>
      </x:c>
      <x:c r="H273" s="601" t="str">
        <x:v>SUN P5</x:v>
      </x:c>
      <x:c r="I273" s="601" t="str">
        <x:f>IF(E273="Extra",IF(AND(A273&lt;&gt;"",D273&lt;&gt;""),"Yes",""),IF(COUNTIF('Routine &amp; Holidays'!$M$8:$M$35,A273)&gt;0,"No",IF(D273="BECM 3204",IF(H273=Dashboard!$C$5,"Yes","No"),IF(D273="BECM 3208",IF(H273=Dashboard!$C$6,"Yes","No"),IF(D273="CE 3224",IF(H273=Dashboard!$C$7,"Yes","No"),IF(D273="BECM 3200",IF(Dashboard!$C$8="Every Week","Yes",IF(Dashboard!$C$8="Odd Weeks",IF(MOD(C273,2)=1,"Yes","No"),IF(MOD(C273,2)=0,"Yes","No"))),"Yes"))))))</x:f>
        <x:v>Yes</x:v>
      </x:c>
      <x:c r="J273" s="601"/>
      <x:c r="K273" s="601" t="str">
        <x:v>None</x:v>
      </x:c>
      <x:c r="L273" s="601"/>
      <x:c r="M273" s="601"/>
      <x:c r="N273" s="601"/>
      <x:c r="O273" s="602"/>
    </x:row>
    <x:row r="274">
      <x:c r="A274" s="580" t="n">
        <x:v>46362</x:v>
      </x:c>
      <x:c r="B274" s="581" t="str">
        <x:v>Sun</x:v>
      </x:c>
      <x:c r="C274" s="581" t="n">
        <x:v>13</x:v>
      </x:c>
      <x:c r="D274" s="581" t="str">
        <x:v>CE 3211</x:v>
      </x:c>
      <x:c r="E274" s="581" t="str">
        <x:v>Regular</x:v>
      </x:c>
      <x:c r="F274" s="601" t="str">
        <x:v>MKI</x:v>
      </x:c>
      <x:c r="G274" s="601" t="str">
        <x:v>6th • 12:20 PM–01:10 PM • Room 501</x:v>
      </x:c>
      <x:c r="H274" s="601" t="str">
        <x:v>SUN P6</x:v>
      </x:c>
      <x:c r="I274" s="601" t="str">
        <x:f>IF(E274="Extra",IF(AND(A274&lt;&gt;"",D274&lt;&gt;""),"Yes",""),IF(COUNTIF('Routine &amp; Holidays'!$M$8:$M$35,A274)&gt;0,"No",IF(D274="BECM 3204",IF(H274=Dashboard!$C$5,"Yes","No"),IF(D274="BECM 3208",IF(H274=Dashboard!$C$6,"Yes","No"),IF(D274="CE 3224",IF(H274=Dashboard!$C$7,"Yes","No"),IF(D274="BECM 3200",IF(Dashboard!$C$8="Every Week","Yes",IF(Dashboard!$C$8="Odd Weeks",IF(MOD(C274,2)=1,"Yes","No"),IF(MOD(C274,2)=0,"Yes","No"))),"Yes"))))))</x:f>
        <x:v>Yes</x:v>
      </x:c>
      <x:c r="J274" s="601"/>
      <x:c r="K274" s="601" t="str">
        <x:v>None</x:v>
      </x:c>
      <x:c r="L274" s="601"/>
      <x:c r="M274" s="601"/>
      <x:c r="N274" s="601"/>
      <x:c r="O274" s="602"/>
    </x:row>
    <x:row r="275">
      <x:c r="A275" s="580" t="n">
        <x:v>46363</x:v>
      </x:c>
      <x:c r="B275" s="581" t="str">
        <x:v>Mon</x:v>
      </x:c>
      <x:c r="C275" s="581" t="n">
        <x:v>13</x:v>
      </x:c>
      <x:c r="D275" s="581" t="str">
        <x:v>BECM 3200</x:v>
      </x:c>
      <x:c r="E275" s="581" t="str">
        <x:v>Regular</x:v>
      </x:c>
      <x:c r="F275" s="601" t="str">
        <x:v>ALL</x:v>
      </x:c>
      <x:c r="G275" s="601" t="str">
        <x:v>7-9 • 02:30 PM–05:00 PM</x:v>
      </x:c>
      <x:c r="H275" s="601" t="str">
        <x:v>Mon PM</x:v>
      </x:c>
      <x:c r="I275" s="601" t="str">
        <x:f>IF(E275="Extra",IF(AND(A275&lt;&gt;"",D275&lt;&gt;""),"Yes",""),IF(COUNTIF('Routine &amp; Holidays'!$M$8:$M$35,A275)&gt;0,"No",IF(D275="BECM 3204",IF(H275=Dashboard!$C$5,"Yes","No"),IF(D275="BECM 3208",IF(H275=Dashboard!$C$6,"Yes","No"),IF(D275="CE 3224",IF(H275=Dashboard!$C$7,"Yes","No"),IF(D275="BECM 3200",IF(Dashboard!$C$8="Every Week","Yes",IF(Dashboard!$C$8="Odd Weeks",IF(MOD(C275,2)=1,"Yes","No"),IF(MOD(C275,2)=0,"Yes","No"))),"Yes"))))))</x:f>
        <x:v>Yes</x:v>
      </x:c>
      <x:c r="J275" s="601"/>
      <x:c r="K275" s="601" t="str">
        <x:v>None</x:v>
      </x:c>
      <x:c r="L275" s="601"/>
      <x:c r="M275" s="601"/>
      <x:c r="N275" s="601"/>
      <x:c r="O275" s="602"/>
    </x:row>
    <x:row r="276">
      <x:c r="A276" s="580" t="n">
        <x:v>46363</x:v>
      </x:c>
      <x:c r="B276" s="581" t="str">
        <x:v>Mon</x:v>
      </x:c>
      <x:c r="C276" s="581" t="n">
        <x:v>13</x:v>
      </x:c>
      <x:c r="D276" s="581" t="str">
        <x:v>CE 3223</x:v>
      </x:c>
      <x:c r="E276" s="581" t="str">
        <x:v>Regular</x:v>
      </x:c>
      <x:c r="F276" s="601" t="str">
        <x:v>MHI/MSA</x:v>
      </x:c>
      <x:c r="G276" s="601" t="str">
        <x:v>3rd • 09:40 AM–10:30 AM • Room 404</x:v>
      </x:c>
      <x:c r="H276" s="601" t="str">
        <x:v>MON P3</x:v>
      </x:c>
      <x:c r="I276" s="601" t="str">
        <x:f>IF(E276="Extra",IF(AND(A276&lt;&gt;"",D276&lt;&gt;""),"Yes",""),IF(COUNTIF('Routine &amp; Holidays'!$M$8:$M$35,A276)&gt;0,"No",IF(D276="BECM 3204",IF(H276=Dashboard!$C$5,"Yes","No"),IF(D276="BECM 3208",IF(H276=Dashboard!$C$6,"Yes","No"),IF(D276="CE 3224",IF(H276=Dashboard!$C$7,"Yes","No"),IF(D276="BECM 3200",IF(Dashboard!$C$8="Every Week","Yes",IF(Dashboard!$C$8="Odd Weeks",IF(MOD(C276,2)=1,"Yes","No"),IF(MOD(C276,2)=0,"Yes","No"))),"Yes"))))))</x:f>
        <x:v>Yes</x:v>
      </x:c>
      <x:c r="J276" s="601"/>
      <x:c r="K276" s="601" t="str">
        <x:v>None</x:v>
      </x:c>
      <x:c r="L276" s="601"/>
      <x:c r="M276" s="601"/>
      <x:c r="N276" s="601"/>
      <x:c r="O276" s="602"/>
    </x:row>
    <x:row r="277">
      <x:c r="A277" s="580" t="n">
        <x:v>46363</x:v>
      </x:c>
      <x:c r="B277" s="581" t="str">
        <x:v>Mon</x:v>
      </x:c>
      <x:c r="C277" s="581" t="n">
        <x:v>13</x:v>
      </x:c>
      <x:c r="D277" s="581" t="str">
        <x:v>BECM 3201</x:v>
      </x:c>
      <x:c r="E277" s="581" t="str">
        <x:v>Regular</x:v>
      </x:c>
      <x:c r="F277" s="601" t="str">
        <x:v>MR</x:v>
      </x:c>
      <x:c r="G277" s="601" t="str">
        <x:v>5th • 11:30 AM–12:20 PM • Room 405</x:v>
      </x:c>
      <x:c r="H277" s="601" t="str">
        <x:v>MON P5</x:v>
      </x:c>
      <x:c r="I277" s="601" t="str">
        <x:f>IF(E277="Extra",IF(AND(A277&lt;&gt;"",D277&lt;&gt;""),"Yes",""),IF(COUNTIF('Routine &amp; Holidays'!$M$8:$M$35,A277)&gt;0,"No",IF(D277="BECM 3204",IF(H277=Dashboard!$C$5,"Yes","No"),IF(D277="BECM 3208",IF(H277=Dashboard!$C$6,"Yes","No"),IF(D277="CE 3224",IF(H277=Dashboard!$C$7,"Yes","No"),IF(D277="BECM 3200",IF(Dashboard!$C$8="Every Week","Yes",IF(Dashboard!$C$8="Odd Weeks",IF(MOD(C277,2)=1,"Yes","No"),IF(MOD(C277,2)=0,"Yes","No"))),"Yes"))))))</x:f>
        <x:v>Yes</x:v>
      </x:c>
      <x:c r="J277" s="601"/>
      <x:c r="K277" s="601" t="str">
        <x:v>None</x:v>
      </x:c>
      <x:c r="L277" s="601"/>
      <x:c r="M277" s="601"/>
      <x:c r="N277" s="601"/>
      <x:c r="O277" s="602"/>
    </x:row>
    <x:row r="278">
      <x:c r="A278" s="580" t="n">
        <x:v>46363</x:v>
      </x:c>
      <x:c r="B278" s="581" t="str">
        <x:v>Mon</x:v>
      </x:c>
      <x:c r="C278" s="581" t="n">
        <x:v>13</x:v>
      </x:c>
      <x:c r="D278" s="581" t="str">
        <x:v>BECM 3205</x:v>
      </x:c>
      <x:c r="E278" s="581" t="str">
        <x:v>Regular</x:v>
      </x:c>
      <x:c r="F278" s="601" t="str">
        <x:v>AAM</x:v>
      </x:c>
      <x:c r="G278" s="601" t="str">
        <x:v>6th • 12:20 PM–01:10 PM • Room 405</x:v>
      </x:c>
      <x:c r="H278" s="601" t="str">
        <x:v>MON P6</x:v>
      </x:c>
      <x:c r="I278" s="601" t="str">
        <x:f>IF(E278="Extra",IF(AND(A278&lt;&gt;"",D278&lt;&gt;""),"Yes",""),IF(COUNTIF('Routine &amp; Holidays'!$M$8:$M$35,A278)&gt;0,"No",IF(D278="BECM 3204",IF(H278=Dashboard!$C$5,"Yes","No"),IF(D278="BECM 3208",IF(H278=Dashboard!$C$6,"Yes","No"),IF(D278="CE 3224",IF(H278=Dashboard!$C$7,"Yes","No"),IF(D278="BECM 3200",IF(Dashboard!$C$8="Every Week","Yes",IF(Dashboard!$C$8="Odd Weeks",IF(MOD(C278,2)=1,"Yes","No"),IF(MOD(C278,2)=0,"Yes","No"))),"Yes"))))))</x:f>
        <x:v>Yes</x:v>
      </x:c>
      <x:c r="J278" s="601"/>
      <x:c r="K278" s="601" t="str">
        <x:v>None</x:v>
      </x:c>
      <x:c r="L278" s="601"/>
      <x:c r="M278" s="601"/>
      <x:c r="N278" s="601"/>
      <x:c r="O278" s="602"/>
    </x:row>
    <x:row r="279">
      <x:c r="A279" s="580" t="n">
        <x:v>46364</x:v>
      </x:c>
      <x:c r="B279" s="581" t="str">
        <x:v>Tues</x:v>
      </x:c>
      <x:c r="C279" s="581" t="n">
        <x:v>13</x:v>
      </x:c>
      <x:c r="D279" s="581" t="str">
        <x:v>BECM 3208</x:v>
      </x:c>
      <x:c r="E279" s="581" t="str">
        <x:v>Regular</x:v>
      </x:c>
      <x:c r="F279" s="601" t="str">
        <x:v>MSH/MSA</x:v>
      </x:c>
      <x:c r="G279" s="601" t="str">
        <x:v>7-9 • 02:30 PM–05:00 PM</x:v>
      </x:c>
      <x:c r="H279" s="601" t="str">
        <x:v>Tue PM</x:v>
      </x:c>
      <x:c r="I279" s="601" t="str">
        <x:f>IF(E279="Extra",IF(AND(A279&lt;&gt;"",D279&lt;&gt;""),"Yes",""),IF(COUNTIF('Routine &amp; Holidays'!$M$8:$M$35,A279)&gt;0,"No",IF(D279="BECM 3204",IF(H279=Dashboard!$C$5,"Yes","No"),IF(D279="BECM 3208",IF(H279=Dashboard!$C$6,"Yes","No"),IF(D279="CE 3224",IF(H279=Dashboard!$C$7,"Yes","No"),IF(D279="BECM 3200",IF(Dashboard!$C$8="Every Week","Yes",IF(Dashboard!$C$8="Odd Weeks",IF(MOD(C279,2)=1,"Yes","No"),IF(MOD(C279,2)=0,"Yes","No"))),"Yes"))))))</x:f>
        <x:v>Yes</x:v>
      </x:c>
      <x:c r="J279" s="601"/>
      <x:c r="K279" s="601" t="str">
        <x:v>None</x:v>
      </x:c>
      <x:c r="L279" s="601"/>
      <x:c r="M279" s="601"/>
      <x:c r="N279" s="601"/>
      <x:c r="O279" s="602"/>
    </x:row>
    <x:row r="280">
      <x:c r="A280" s="580" t="n">
        <x:v>46364</x:v>
      </x:c>
      <x:c r="B280" s="581" t="str">
        <x:v>Tues</x:v>
      </x:c>
      <x:c r="C280" s="581" t="n">
        <x:v>13</x:v>
      </x:c>
      <x:c r="D280" s="581" t="str">
        <x:v>CE 3224</x:v>
      </x:c>
      <x:c r="E280" s="581" t="str">
        <x:v>Regular</x:v>
      </x:c>
      <x:c r="F280" s="601" t="str">
        <x:v>MHI/MRA</x:v>
      </x:c>
      <x:c r="G280" s="601" t="str">
        <x:v>1-3 • 08:00 AM–10:30 AM</x:v>
      </x:c>
      <x:c r="H280" s="601" t="str">
        <x:v>Tue AM</x:v>
      </x:c>
      <x:c r="I280" s="601" t="str">
        <x:f>IF(E280="Extra",IF(AND(A280&lt;&gt;"",D280&lt;&gt;""),"Yes",""),IF(COUNTIF('Routine &amp; Holidays'!$M$8:$M$35,A280)&gt;0,"No",IF(D280="BECM 3204",IF(H280=Dashboard!$C$5,"Yes","No"),IF(D280="BECM 3208",IF(H280=Dashboard!$C$6,"Yes","No"),IF(D280="CE 3224",IF(H280=Dashboard!$C$7,"Yes","No"),IF(D280="BECM 3200",IF(Dashboard!$C$8="Every Week","Yes",IF(Dashboard!$C$8="Odd Weeks",IF(MOD(C280,2)=1,"Yes","No"),IF(MOD(C280,2)=0,"Yes","No"))),"Yes"))))))</x:f>
        <x:v>Yes</x:v>
      </x:c>
      <x:c r="J280" s="601"/>
      <x:c r="K280" s="601" t="str">
        <x:v>None</x:v>
      </x:c>
      <x:c r="L280" s="601"/>
      <x:c r="M280" s="601"/>
      <x:c r="N280" s="601"/>
      <x:c r="O280" s="602"/>
    </x:row>
    <x:row r="281">
      <x:c r="A281" s="580" t="n">
        <x:v>46364</x:v>
      </x:c>
      <x:c r="B281" s="581" t="str">
        <x:v>Tues</x:v>
      </x:c>
      <x:c r="C281" s="581" t="n">
        <x:v>13</x:v>
      </x:c>
      <x:c r="D281" s="581" t="str">
        <x:v>CE 3213</x:v>
      </x:c>
      <x:c r="E281" s="581" t="str">
        <x:v>Regular</x:v>
      </x:c>
      <x:c r="F281" s="601" t="str">
        <x:v>MKI</x:v>
      </x:c>
      <x:c r="G281" s="601" t="str">
        <x:v>5th • 11:30 AM–12:20 PM • Room 405</x:v>
      </x:c>
      <x:c r="H281" s="601" t="str">
        <x:v>TUES P5</x:v>
      </x:c>
      <x:c r="I281" s="601" t="str">
        <x:f>IF(E281="Extra",IF(AND(A281&lt;&gt;"",D281&lt;&gt;""),"Yes",""),IF(COUNTIF('Routine &amp; Holidays'!$M$8:$M$35,A281)&gt;0,"No",IF(D281="BECM 3204",IF(H281=Dashboard!$C$5,"Yes","No"),IF(D281="BECM 3208",IF(H281=Dashboard!$C$6,"Yes","No"),IF(D281="CE 3224",IF(H281=Dashboard!$C$7,"Yes","No"),IF(D281="BECM 3200",IF(Dashboard!$C$8="Every Week","Yes",IF(Dashboard!$C$8="Odd Weeks",IF(MOD(C281,2)=1,"Yes","No"),IF(MOD(C281,2)=0,"Yes","No"))),"Yes"))))))</x:f>
        <x:v>Yes</x:v>
      </x:c>
      <x:c r="J281" s="601"/>
      <x:c r="K281" s="601" t="str">
        <x:v>None</x:v>
      </x:c>
      <x:c r="L281" s="601"/>
      <x:c r="M281" s="601"/>
      <x:c r="N281" s="601"/>
      <x:c r="O281" s="602"/>
    </x:row>
    <x:row r="282">
      <x:c r="A282" s="580" t="n">
        <x:v>46364</x:v>
      </x:c>
      <x:c r="B282" s="581" t="str">
        <x:v>Tues</x:v>
      </x:c>
      <x:c r="C282" s="581" t="n">
        <x:v>13</x:v>
      </x:c>
      <x:c r="D282" s="581" t="str">
        <x:v>BECM 3201</x:v>
      </x:c>
      <x:c r="E282" s="581" t="str">
        <x:v>Regular</x:v>
      </x:c>
      <x:c r="F282" s="601" t="str">
        <x:v>MRA</x:v>
      </x:c>
      <x:c r="G282" s="601" t="str">
        <x:v>6th • 12:20 PM–01:10 PM • Room 405</x:v>
      </x:c>
      <x:c r="H282" s="601" t="str">
        <x:v>TUES P6</x:v>
      </x:c>
      <x:c r="I282" s="601" t="str">
        <x:f>IF(E282="Extra",IF(AND(A282&lt;&gt;"",D282&lt;&gt;""),"Yes",""),IF(COUNTIF('Routine &amp; Holidays'!$M$8:$M$35,A282)&gt;0,"No",IF(D282="BECM 3204",IF(H282=Dashboard!$C$5,"Yes","No"),IF(D282="BECM 3208",IF(H282=Dashboard!$C$6,"Yes","No"),IF(D282="CE 3224",IF(H282=Dashboard!$C$7,"Yes","No"),IF(D282="BECM 3200",IF(Dashboard!$C$8="Every Week","Yes",IF(Dashboard!$C$8="Odd Weeks",IF(MOD(C282,2)=1,"Yes","No"),IF(MOD(C282,2)=0,"Yes","No"))),"Yes"))))))</x:f>
        <x:v>Yes</x:v>
      </x:c>
      <x:c r="J282" s="601"/>
      <x:c r="K282" s="601" t="str">
        <x:v>None</x:v>
      </x:c>
      <x:c r="L282" s="601"/>
      <x:c r="M282" s="601"/>
      <x:c r="N282" s="601"/>
      <x:c r="O282" s="602"/>
    </x:row>
    <x:row r="283">
      <x:c r="A283" s="580" t="n">
        <x:v>46365</x:v>
      </x:c>
      <x:c r="B283" s="581" t="str">
        <x:v>Wed</x:v>
      </x:c>
      <x:c r="C283" s="581" t="n">
        <x:v>13</x:v>
      </x:c>
      <x:c r="D283" s="581" t="str">
        <x:v>BECM 3208</x:v>
      </x:c>
      <x:c r="E283" s="581" t="str">
        <x:v>Regular</x:v>
      </x:c>
      <x:c r="F283" s="601" t="str">
        <x:v>MSH/MSA</x:v>
      </x:c>
      <x:c r="G283" s="601" t="str">
        <x:v>7-9 • 02:30 PM–05:00 PM • Room 501</x:v>
      </x:c>
      <x:c r="H283" s="601" t="str">
        <x:v>Wed PM</x:v>
      </x:c>
      <x:c r="I283" s="601" t="str">
        <x:f>IF(E283="Extra",IF(AND(A283&lt;&gt;"",D283&lt;&gt;""),"Yes",""),IF(COUNTIF('Routine &amp; Holidays'!$M$8:$M$35,A283)&gt;0,"No",IF(D283="BECM 3204",IF(H283=Dashboard!$C$5,"Yes","No"),IF(D283="BECM 3208",IF(H283=Dashboard!$C$6,"Yes","No"),IF(D283="CE 3224",IF(H283=Dashboard!$C$7,"Yes","No"),IF(D283="BECM 3200",IF(Dashboard!$C$8="Every Week","Yes",IF(Dashboard!$C$8="Odd Weeks",IF(MOD(C283,2)=1,"Yes","No"),IF(MOD(C283,2)=0,"Yes","No"))),"Yes"))))))</x:f>
        <x:v>No</x:v>
      </x:c>
      <x:c r="J283" s="601"/>
      <x:c r="K283" s="601" t="str">
        <x:v>None</x:v>
      </x:c>
      <x:c r="L283" s="601"/>
      <x:c r="M283" s="601"/>
      <x:c r="N283" s="601"/>
      <x:c r="O283" s="602"/>
    </x:row>
    <x:row r="284">
      <x:c r="A284" s="580" t="n">
        <x:v>46365</x:v>
      </x:c>
      <x:c r="B284" s="581" t="str">
        <x:v>Wed</x:v>
      </x:c>
      <x:c r="C284" s="581" t="n">
        <x:v>13</x:v>
      </x:c>
      <x:c r="D284" s="581" t="str">
        <x:v>CE 3213</x:v>
      </x:c>
      <x:c r="E284" s="581" t="str">
        <x:v>Regular</x:v>
      </x:c>
      <x:c r="F284" s="601" t="str">
        <x:v>HRS/MKI</x:v>
      </x:c>
      <x:c r="G284" s="601" t="str">
        <x:v>3rd • 09:40 AM–10:30 AM • Room 501</x:v>
      </x:c>
      <x:c r="H284" s="601" t="str">
        <x:v>WED P3</x:v>
      </x:c>
      <x:c r="I284" s="601" t="str">
        <x:f>IF(E284="Extra",IF(AND(A284&lt;&gt;"",D284&lt;&gt;""),"Yes",""),IF(COUNTIF('Routine &amp; Holidays'!$M$8:$M$35,A284)&gt;0,"No",IF(D284="BECM 3204",IF(H284=Dashboard!$C$5,"Yes","No"),IF(D284="BECM 3208",IF(H284=Dashboard!$C$6,"Yes","No"),IF(D284="CE 3224",IF(H284=Dashboard!$C$7,"Yes","No"),IF(D284="BECM 3200",IF(Dashboard!$C$8="Every Week","Yes",IF(Dashboard!$C$8="Odd Weeks",IF(MOD(C284,2)=1,"Yes","No"),IF(MOD(C284,2)=0,"Yes","No"))),"Yes"))))))</x:f>
        <x:v>Yes</x:v>
      </x:c>
      <x:c r="J284" s="601"/>
      <x:c r="K284" s="601" t="str">
        <x:v>None</x:v>
      </x:c>
      <x:c r="L284" s="601"/>
      <x:c r="M284" s="601"/>
      <x:c r="N284" s="601"/>
      <x:c r="O284" s="602"/>
    </x:row>
    <x:row r="285">
      <x:c r="A285" s="580" t="n">
        <x:v>46365</x:v>
      </x:c>
      <x:c r="B285" s="581" t="str">
        <x:v>Wed</x:v>
      </x:c>
      <x:c r="C285" s="581" t="n">
        <x:v>13</x:v>
      </x:c>
      <x:c r="D285" s="581" t="str">
        <x:v>CE 3211</x:v>
      </x:c>
      <x:c r="E285" s="581" t="str">
        <x:v>Regular</x:v>
      </x:c>
      <x:c r="F285" s="601" t="str">
        <x:v>ATB</x:v>
      </x:c>
      <x:c r="G285" s="601" t="str">
        <x:v>4th • 10:40 AM–11:30 AM • Room 501</x:v>
      </x:c>
      <x:c r="H285" s="601" t="str">
        <x:v>WED P4</x:v>
      </x:c>
      <x:c r="I285" s="601" t="str">
        <x:f>IF(E285="Extra",IF(AND(A285&lt;&gt;"",D285&lt;&gt;""),"Yes",""),IF(COUNTIF('Routine &amp; Holidays'!$M$8:$M$35,A285)&gt;0,"No",IF(D285="BECM 3204",IF(H285=Dashboard!$C$5,"Yes","No"),IF(D285="BECM 3208",IF(H285=Dashboard!$C$6,"Yes","No"),IF(D285="CE 3224",IF(H285=Dashboard!$C$7,"Yes","No"),IF(D285="BECM 3200",IF(Dashboard!$C$8="Every Week","Yes",IF(Dashboard!$C$8="Odd Weeks",IF(MOD(C285,2)=1,"Yes","No"),IF(MOD(C285,2)=0,"Yes","No"))),"Yes"))))))</x:f>
        <x:v>Yes</x:v>
      </x:c>
      <x:c r="J285" s="601"/>
      <x:c r="K285" s="601" t="str">
        <x:v>None</x:v>
      </x:c>
      <x:c r="L285" s="601"/>
      <x:c r="M285" s="601"/>
      <x:c r="N285" s="601"/>
      <x:c r="O285" s="602"/>
    </x:row>
    <x:row r="286">
      <x:c r="A286" s="580" t="n">
        <x:v>46365</x:v>
      </x:c>
      <x:c r="B286" s="581" t="str">
        <x:v>Wed</x:v>
      </x:c>
      <x:c r="C286" s="581" t="n">
        <x:v>13</x:v>
      </x:c>
      <x:c r="D286" s="581" t="str">
        <x:v>CE 3223</x:v>
      </x:c>
      <x:c r="E286" s="581" t="str">
        <x:v>Regular</x:v>
      </x:c>
      <x:c r="F286" s="601" t="str">
        <x:v>MHI</x:v>
      </x:c>
      <x:c r="G286" s="601" t="str">
        <x:v>5th • 11:30 AM–12:20 PM • Room 501</x:v>
      </x:c>
      <x:c r="H286" s="601" t="str">
        <x:v>WED P5</x:v>
      </x:c>
      <x:c r="I286" s="601" t="str">
        <x:f>IF(E286="Extra",IF(AND(A286&lt;&gt;"",D286&lt;&gt;""),"Yes",""),IF(COUNTIF('Routine &amp; Holidays'!$M$8:$M$35,A286)&gt;0,"No",IF(D286="BECM 3204",IF(H286=Dashboard!$C$5,"Yes","No"),IF(D286="BECM 3208",IF(H286=Dashboard!$C$6,"Yes","No"),IF(D286="CE 3224",IF(H286=Dashboard!$C$7,"Yes","No"),IF(D286="BECM 3200",IF(Dashboard!$C$8="Every Week","Yes",IF(Dashboard!$C$8="Odd Weeks",IF(MOD(C286,2)=1,"Yes","No"),IF(MOD(C286,2)=0,"Yes","No"))),"Yes"))))))</x:f>
        <x:v>Yes</x:v>
      </x:c>
      <x:c r="J286" s="601"/>
      <x:c r="K286" s="601" t="str">
        <x:v>None</x:v>
      </x:c>
      <x:c r="L286" s="601"/>
      <x:c r="M286" s="601"/>
      <x:c r="N286" s="601"/>
      <x:c r="O286" s="602"/>
    </x:row>
    <x:row r="287">
      <x:c r="A287" s="580" t="n">
        <x:v>46365</x:v>
      </x:c>
      <x:c r="B287" s="581" t="str">
        <x:v>Wed</x:v>
      </x:c>
      <x:c r="C287" s="581" t="n">
        <x:v>13</x:v>
      </x:c>
      <x:c r="D287" s="581" t="str">
        <x:v>BECM 3205</x:v>
      </x:c>
      <x:c r="E287" s="581" t="str">
        <x:v>Regular</x:v>
      </x:c>
      <x:c r="F287" s="601" t="str">
        <x:v>MSH/AAM</x:v>
      </x:c>
      <x:c r="G287" s="601" t="str">
        <x:v>6th • 12:20 PM–01:10 PM • Room 501</x:v>
      </x:c>
      <x:c r="H287" s="601" t="str">
        <x:v>WED P6</x:v>
      </x:c>
      <x:c r="I287" s="601" t="str">
        <x:f>IF(E287="Extra",IF(AND(A287&lt;&gt;"",D287&lt;&gt;""),"Yes",""),IF(COUNTIF('Routine &amp; Holidays'!$M$8:$M$35,A287)&gt;0,"No",IF(D287="BECM 3204",IF(H287=Dashboard!$C$5,"Yes","No"),IF(D287="BECM 3208",IF(H287=Dashboard!$C$6,"Yes","No"),IF(D287="CE 3224",IF(H287=Dashboard!$C$7,"Yes","No"),IF(D287="BECM 3200",IF(Dashboard!$C$8="Every Week","Yes",IF(Dashboard!$C$8="Odd Weeks",IF(MOD(C287,2)=1,"Yes","No"),IF(MOD(C287,2)=0,"Yes","No"))),"Yes"))))))</x:f>
        <x:v>Yes</x:v>
      </x:c>
      <x:c r="J287" s="601"/>
      <x:c r="K287" s="601" t="str">
        <x:v>None</x:v>
      </x:c>
      <x:c r="L287" s="601"/>
      <x:c r="M287" s="601"/>
      <x:c r="N287" s="601"/>
      <x:c r="O287" s="602"/>
    </x:row>
    <x:row r="288">
      <x:c r="A288" s="580" t="n">
        <x:v>46366</x:v>
      </x:c>
      <x:c r="B288" s="581" t="str">
        <x:v>Thurs</x:v>
      </x:c>
      <x:c r="C288" s="581" t="n">
        <x:v>13</x:v>
      </x:c>
      <x:c r="D288" s="581" t="str">
        <x:v>CE 3224</x:v>
      </x:c>
      <x:c r="E288" s="581" t="str">
        <x:v>Regular</x:v>
      </x:c>
      <x:c r="F288" s="601" t="str">
        <x:v>MHI/MRA</x:v>
      </x:c>
      <x:c r="G288" s="601" t="str">
        <x:v>7-9 • 02:30 PM–05:00 PM • Room 405</x:v>
      </x:c>
      <x:c r="H288" s="601" t="str">
        <x:v>Thu PM</x:v>
      </x:c>
      <x:c r="I288" s="601" t="str">
        <x:f>IF(E288="Extra",IF(AND(A288&lt;&gt;"",D288&lt;&gt;""),"Yes",""),IF(COUNTIF('Routine &amp; Holidays'!$M$8:$M$35,A288)&gt;0,"No",IF(D288="BECM 3204",IF(H288=Dashboard!$C$5,"Yes","No"),IF(D288="BECM 3208",IF(H288=Dashboard!$C$6,"Yes","No"),IF(D288="CE 3224",IF(H288=Dashboard!$C$7,"Yes","No"),IF(D288="BECM 3200",IF(Dashboard!$C$8="Every Week","Yes",IF(Dashboard!$C$8="Odd Weeks",IF(MOD(C288,2)=1,"Yes","No"),IF(MOD(C288,2)=0,"Yes","No"))),"Yes"))))))</x:f>
        <x:v>No</x:v>
      </x:c>
      <x:c r="J288" s="601"/>
      <x:c r="K288" s="601" t="str">
        <x:v>None</x:v>
      </x:c>
      <x:c r="L288" s="601"/>
      <x:c r="M288" s="601"/>
      <x:c r="N288" s="601"/>
      <x:c r="O288" s="602"/>
    </x:row>
    <x:row r="289">
      <x:c r="A289" s="580" t="n">
        <x:v>46366</x:v>
      </x:c>
      <x:c r="B289" s="581" t="str">
        <x:v>Thurs</x:v>
      </x:c>
      <x:c r="C289" s="581" t="n">
        <x:v>13</x:v>
      </x:c>
      <x:c r="D289" s="581" t="str">
        <x:v>BECM 3204</x:v>
      </x:c>
      <x:c r="E289" s="581" t="str">
        <x:v>Regular</x:v>
      </x:c>
      <x:c r="F289" s="601" t="str">
        <x:v>HRS/MR</x:v>
      </x:c>
      <x:c r="G289" s="601" t="str">
        <x:v>1-3 • 08:00 AM–10:30 AM</x:v>
      </x:c>
      <x:c r="H289" s="601" t="str">
        <x:v>Thu AM</x:v>
      </x:c>
      <x:c r="I289" s="601" t="str">
        <x:f>IF(E289="Extra",IF(AND(A289&lt;&gt;"",D289&lt;&gt;""),"Yes",""),IF(COUNTIF('Routine &amp; Holidays'!$M$8:$M$35,A289)&gt;0,"No",IF(D289="BECM 3204",IF(H289=Dashboard!$C$5,"Yes","No"),IF(D289="BECM 3208",IF(H289=Dashboard!$C$6,"Yes","No"),IF(D289="CE 3224",IF(H289=Dashboard!$C$7,"Yes","No"),IF(D289="BECM 3200",IF(Dashboard!$C$8="Every Week","Yes",IF(Dashboard!$C$8="Odd Weeks",IF(MOD(C289,2)=1,"Yes","No"),IF(MOD(C289,2)=0,"Yes","No"))),"Yes"))))))</x:f>
        <x:v>No</x:v>
      </x:c>
      <x:c r="J289" s="601"/>
      <x:c r="K289" s="601" t="str">
        <x:v>None</x:v>
      </x:c>
      <x:c r="L289" s="601"/>
      <x:c r="M289" s="601"/>
      <x:c r="N289" s="601"/>
      <x:c r="O289" s="602"/>
    </x:row>
    <x:row r="290">
      <x:c r="A290" s="580" t="n">
        <x:v>46366</x:v>
      </x:c>
      <x:c r="B290" s="581" t="str">
        <x:v>Thurs</x:v>
      </x:c>
      <x:c r="C290" s="581" t="n">
        <x:v>13</x:v>
      </x:c>
      <x:c r="D290" s="581" t="str">
        <x:v>BECM 3205</x:v>
      </x:c>
      <x:c r="E290" s="581" t="str">
        <x:v>Regular</x:v>
      </x:c>
      <x:c r="F290" s="601" t="str">
        <x:v>MSH</x:v>
      </x:c>
      <x:c r="G290" s="601" t="str">
        <x:v>4th • 10:40 AM–11:30 AM • Room 406</x:v>
      </x:c>
      <x:c r="H290" s="601" t="str">
        <x:v>THURS P4</x:v>
      </x:c>
      <x:c r="I290" s="601" t="str">
        <x:f>IF(E290="Extra",IF(AND(A290&lt;&gt;"",D290&lt;&gt;""),"Yes",""),IF(COUNTIF('Routine &amp; Holidays'!$M$8:$M$35,A290)&gt;0,"No",IF(D290="BECM 3204",IF(H290=Dashboard!$C$5,"Yes","No"),IF(D290="BECM 3208",IF(H290=Dashboard!$C$6,"Yes","No"),IF(D290="CE 3224",IF(H290=Dashboard!$C$7,"Yes","No"),IF(D290="BECM 3200",IF(Dashboard!$C$8="Every Week","Yes",IF(Dashboard!$C$8="Odd Weeks",IF(MOD(C290,2)=1,"Yes","No"),IF(MOD(C290,2)=0,"Yes","No"))),"Yes"))))))</x:f>
        <x:v>Yes</x:v>
      </x:c>
      <x:c r="J290" s="601"/>
      <x:c r="K290" s="601" t="str">
        <x:v>None</x:v>
      </x:c>
      <x:c r="L290" s="601"/>
      <x:c r="M290" s="601"/>
      <x:c r="N290" s="601"/>
      <x:c r="O290" s="602"/>
    </x:row>
    <x:row r="291">
      <x:c r="A291" s="580" t="n">
        <x:v>46366</x:v>
      </x:c>
      <x:c r="B291" s="581" t="str">
        <x:v>Thurs</x:v>
      </x:c>
      <x:c r="C291" s="581" t="n">
        <x:v>13</x:v>
      </x:c>
      <x:c r="D291" s="581" t="str">
        <x:v>CE 3211</x:v>
      </x:c>
      <x:c r="E291" s="581" t="str">
        <x:v>Regular</x:v>
      </x:c>
      <x:c r="F291" s="601" t="str">
        <x:v>MKI/ATB</x:v>
      </x:c>
      <x:c r="G291" s="601" t="str">
        <x:v>5th • 11:30 AM–12:20 PM • Room 406</x:v>
      </x:c>
      <x:c r="H291" s="601" t="str">
        <x:v>THURS P5</x:v>
      </x:c>
      <x:c r="I291" s="601" t="str">
        <x:f>IF(E291="Extra",IF(AND(A291&lt;&gt;"",D291&lt;&gt;""),"Yes",""),IF(COUNTIF('Routine &amp; Holidays'!$M$8:$M$35,A291)&gt;0,"No",IF(D291="BECM 3204",IF(H291=Dashboard!$C$5,"Yes","No"),IF(D291="BECM 3208",IF(H291=Dashboard!$C$6,"Yes","No"),IF(D291="CE 3224",IF(H291=Dashboard!$C$7,"Yes","No"),IF(D291="BECM 3200",IF(Dashboard!$C$8="Every Week","Yes",IF(Dashboard!$C$8="Odd Weeks",IF(MOD(C291,2)=1,"Yes","No"),IF(MOD(C291,2)=0,"Yes","No"))),"Yes"))))))</x:f>
        <x:v>Yes</x:v>
      </x:c>
      <x:c r="J291" s="601"/>
      <x:c r="K291" s="601" t="str">
        <x:v>None</x:v>
      </x:c>
      <x:c r="L291" s="601"/>
      <x:c r="M291" s="601"/>
      <x:c r="N291" s="601"/>
      <x:c r="O291" s="602"/>
    </x:row>
    <x:row r="292">
      <x:c r="A292" s="580" t="n">
        <x:v>46366</x:v>
      </x:c>
      <x:c r="B292" s="581" t="str">
        <x:v>Thurs</x:v>
      </x:c>
      <x:c r="C292" s="581" t="n">
        <x:v>13</x:v>
      </x:c>
      <x:c r="D292" s="581" t="str">
        <x:v>BECM 3201</x:v>
      </x:c>
      <x:c r="E292" s="581" t="str">
        <x:v>Regular</x:v>
      </x:c>
      <x:c r="F292" s="601" t="str">
        <x:v>MR/MRA</x:v>
      </x:c>
      <x:c r="G292" s="601" t="str">
        <x:v>6th • 12:20 PM–01:10 PM • Room 406</x:v>
      </x:c>
      <x:c r="H292" s="601" t="str">
        <x:v>THURS P6</x:v>
      </x:c>
      <x:c r="I292" s="601" t="str">
        <x:f>IF(E292="Extra",IF(AND(A292&lt;&gt;"",D292&lt;&gt;""),"Yes",""),IF(COUNTIF('Routine &amp; Holidays'!$M$8:$M$35,A292)&gt;0,"No",IF(D292="BECM 3204",IF(H292=Dashboard!$C$5,"Yes","No"),IF(D292="BECM 3208",IF(H292=Dashboard!$C$6,"Yes","No"),IF(D292="CE 3224",IF(H292=Dashboard!$C$7,"Yes","No"),IF(D292="BECM 3200",IF(Dashboard!$C$8="Every Week","Yes",IF(Dashboard!$C$8="Odd Weeks",IF(MOD(C292,2)=1,"Yes","No"),IF(MOD(C292,2)=0,"Yes","No"))),"Yes"))))))</x:f>
        <x:v>Yes</x:v>
      </x:c>
      <x:c r="J292" s="601"/>
      <x:c r="K292" s="601" t="str">
        <x:v>None</x:v>
      </x:c>
      <x:c r="L292" s="601"/>
      <x:c r="M292" s="601"/>
      <x:c r="N292" s="601"/>
      <x:c r="O292" s="602"/>
    </x:row>
    <x:row r="293">
      <x:c r="A293" s="753" t="str">
        <x:v>EXTRA / MAKE-UP CLASS ENTRIES — add only when an extra class is actually held or scheduled</x:v>
      </x:c>
      <x:c r="B293" s="295" t="str">
        <x:f>IF(A293="","",TEXT(A293,"ddd"))</x:f>
        <x:v>EXTRA / MAKE-UP CLASS ENTRIES — add only when an extra class is actually held or scheduled</x:v>
      </x:c>
      <x:c r="C293" s="295"/>
      <x:c r="D293" s="295"/>
      <x:c r="E293" s="295" t="str">
        <x:v>Extra</x:v>
      </x:c>
      <x:c r="F293" s="518"/>
      <x:c r="G293" s="518"/>
      <x:c r="H293" s="518"/>
      <x:c r="I293" s="518" t="str">
        <x:f>IF(AND(A293&lt;&gt;"",D293&lt;&gt;""),"Yes","")</x:f>
      </x:c>
      <x:c r="J293" s="518"/>
      <x:c r="K293" s="518" t="str">
        <x:v>None</x:v>
      </x:c>
      <x:c r="L293" s="518"/>
      <x:c r="M293" s="518"/>
      <x:c r="N293" s="518"/>
      <x:c r="O293" s="644"/>
    </x:row>
    <x:row r="294">
      <x:c r="A294" s="763"/>
      <x:c r="B294" s="764" t="str">
        <x:f>IF(A294="","",TEXT(A294,"ddd"))</x:f>
      </x:c>
      <x:c r="C294" s="764"/>
      <x:c r="D294" s="764"/>
      <x:c r="E294" s="764" t="str">
        <x:v>Extra</x:v>
      </x:c>
      <x:c r="F294" s="738"/>
      <x:c r="G294" s="738"/>
      <x:c r="H294" s="738"/>
      <x:c r="I294" s="738" t="str">
        <x:f>IF(AND(A294&lt;&gt;"",D294&lt;&gt;""),"Yes","")</x:f>
      </x:c>
      <x:c r="J294" s="738"/>
      <x:c r="K294" s="738" t="str">
        <x:v>None</x:v>
      </x:c>
      <x:c r="L294" s="738"/>
      <x:c r="M294" s="738"/>
      <x:c r="N294" s="738"/>
      <x:c r="O294" s="765"/>
    </x:row>
    <x:row r="295">
      <x:c r="A295" s="763"/>
      <x:c r="B295" s="764" t="str">
        <x:f>IF(A295="","",TEXT(A295,"ddd"))</x:f>
      </x:c>
      <x:c r="C295" s="764"/>
      <x:c r="D295" s="764"/>
      <x:c r="E295" s="764" t="str">
        <x:v>Extra</x:v>
      </x:c>
      <x:c r="F295" s="738"/>
      <x:c r="G295" s="738"/>
      <x:c r="H295" s="738"/>
      <x:c r="I295" s="738" t="str">
        <x:f>IF(AND(A295&lt;&gt;"",D295&lt;&gt;""),"Yes","")</x:f>
      </x:c>
      <x:c r="J295" s="738"/>
      <x:c r="K295" s="738" t="str">
        <x:v>None</x:v>
      </x:c>
      <x:c r="L295" s="738"/>
      <x:c r="M295" s="738"/>
      <x:c r="N295" s="738"/>
      <x:c r="O295" s="765"/>
    </x:row>
    <x:row r="296">
      <x:c r="A296" s="763"/>
      <x:c r="B296" s="764" t="str">
        <x:f>IF(A296="","",TEXT(A296,"ddd"))</x:f>
      </x:c>
      <x:c r="C296" s="764"/>
      <x:c r="D296" s="764"/>
      <x:c r="E296" s="764" t="str">
        <x:v>Extra</x:v>
      </x:c>
      <x:c r="F296" s="738"/>
      <x:c r="G296" s="738"/>
      <x:c r="H296" s="738"/>
      <x:c r="I296" s="738" t="str">
        <x:f>IF(AND(A296&lt;&gt;"",D296&lt;&gt;""),"Yes","")</x:f>
      </x:c>
      <x:c r="J296" s="738"/>
      <x:c r="K296" s="738" t="str">
        <x:v>None</x:v>
      </x:c>
      <x:c r="L296" s="738"/>
      <x:c r="M296" s="738"/>
      <x:c r="N296" s="738"/>
      <x:c r="O296" s="765"/>
    </x:row>
    <x:row r="297">
      <x:c r="A297" s="763"/>
      <x:c r="B297" s="764" t="str">
        <x:f>IF(A297="","",TEXT(A297,"ddd"))</x:f>
      </x:c>
      <x:c r="C297" s="764"/>
      <x:c r="D297" s="764"/>
      <x:c r="E297" s="764" t="str">
        <x:v>Extra</x:v>
      </x:c>
      <x:c r="F297" s="738"/>
      <x:c r="G297" s="738"/>
      <x:c r="H297" s="738"/>
      <x:c r="I297" s="738" t="str">
        <x:f>IF(AND(A297&lt;&gt;"",D297&lt;&gt;""),"Yes","")</x:f>
      </x:c>
      <x:c r="J297" s="738"/>
      <x:c r="K297" s="738" t="str">
        <x:v>None</x:v>
      </x:c>
      <x:c r="L297" s="738"/>
      <x:c r="M297" s="738"/>
      <x:c r="N297" s="738"/>
      <x:c r="O297" s="765"/>
    </x:row>
    <x:row r="298">
      <x:c r="A298" s="763"/>
      <x:c r="B298" s="764" t="str">
        <x:f>IF(A298="","",TEXT(A298,"ddd"))</x:f>
      </x:c>
      <x:c r="C298" s="764"/>
      <x:c r="D298" s="764"/>
      <x:c r="E298" s="764" t="str">
        <x:v>Extra</x:v>
      </x:c>
      <x:c r="F298" s="738"/>
      <x:c r="G298" s="738"/>
      <x:c r="H298" s="738"/>
      <x:c r="I298" s="738" t="str">
        <x:f>IF(AND(A298&lt;&gt;"",D298&lt;&gt;""),"Yes","")</x:f>
      </x:c>
      <x:c r="J298" s="738"/>
      <x:c r="K298" s="738" t="str">
        <x:v>None</x:v>
      </x:c>
      <x:c r="L298" s="738"/>
      <x:c r="M298" s="738"/>
      <x:c r="N298" s="738"/>
      <x:c r="O298" s="765"/>
    </x:row>
    <x:row r="299">
      <x:c r="A299" s="763"/>
      <x:c r="B299" s="764" t="str">
        <x:f>IF(A299="","",TEXT(A299,"ddd"))</x:f>
      </x:c>
      <x:c r="C299" s="764"/>
      <x:c r="D299" s="764"/>
      <x:c r="E299" s="764" t="str">
        <x:v>Extra</x:v>
      </x:c>
      <x:c r="F299" s="738"/>
      <x:c r="G299" s="738"/>
      <x:c r="H299" s="738"/>
      <x:c r="I299" s="738" t="str">
        <x:f>IF(AND(A299&lt;&gt;"",D299&lt;&gt;""),"Yes","")</x:f>
      </x:c>
      <x:c r="J299" s="738"/>
      <x:c r="K299" s="738" t="str">
        <x:v>None</x:v>
      </x:c>
      <x:c r="L299" s="738"/>
      <x:c r="M299" s="738"/>
      <x:c r="N299" s="738"/>
      <x:c r="O299" s="765"/>
    </x:row>
    <x:row r="300">
      <x:c r="A300" s="763"/>
      <x:c r="B300" s="764" t="str">
        <x:f>IF(A300="","",TEXT(A300,"ddd"))</x:f>
      </x:c>
      <x:c r="C300" s="764"/>
      <x:c r="D300" s="764"/>
      <x:c r="E300" s="764" t="str">
        <x:v>Extra</x:v>
      </x:c>
      <x:c r="F300" s="738"/>
      <x:c r="G300" s="738"/>
      <x:c r="H300" s="738"/>
      <x:c r="I300" s="738" t="str">
        <x:f>IF(AND(A300&lt;&gt;"",D300&lt;&gt;""),"Yes","")</x:f>
      </x:c>
      <x:c r="J300" s="738"/>
      <x:c r="K300" s="738" t="str">
        <x:v>None</x:v>
      </x:c>
      <x:c r="L300" s="738"/>
      <x:c r="M300" s="738"/>
      <x:c r="N300" s="738"/>
      <x:c r="O300" s="765"/>
    </x:row>
    <x:row r="301">
      <x:c r="A301" s="763"/>
      <x:c r="B301" s="764" t="str">
        <x:f>IF(A301="","",TEXT(A301,"ddd"))</x:f>
      </x:c>
      <x:c r="C301" s="764"/>
      <x:c r="D301" s="764"/>
      <x:c r="E301" s="764" t="str">
        <x:v>Extra</x:v>
      </x:c>
      <x:c r="F301" s="738"/>
      <x:c r="G301" s="738"/>
      <x:c r="H301" s="738"/>
      <x:c r="I301" s="738" t="str">
        <x:f>IF(AND(A301&lt;&gt;"",D301&lt;&gt;""),"Yes","")</x:f>
      </x:c>
      <x:c r="J301" s="738"/>
      <x:c r="K301" s="738" t="str">
        <x:v>None</x:v>
      </x:c>
      <x:c r="L301" s="738"/>
      <x:c r="M301" s="738"/>
      <x:c r="N301" s="738"/>
      <x:c r="O301" s="765"/>
    </x:row>
    <x:row r="302">
      <x:c r="A302" s="763"/>
      <x:c r="B302" s="764" t="str">
        <x:f>IF(A302="","",TEXT(A302,"ddd"))</x:f>
      </x:c>
      <x:c r="C302" s="764"/>
      <x:c r="D302" s="764"/>
      <x:c r="E302" s="764" t="str">
        <x:v>Extra</x:v>
      </x:c>
      <x:c r="F302" s="738"/>
      <x:c r="G302" s="738"/>
      <x:c r="H302" s="738"/>
      <x:c r="I302" s="738" t="str">
        <x:f>IF(AND(A302&lt;&gt;"",D302&lt;&gt;""),"Yes","")</x:f>
      </x:c>
      <x:c r="J302" s="738"/>
      <x:c r="K302" s="738" t="str">
        <x:v>None</x:v>
      </x:c>
      <x:c r="L302" s="738"/>
      <x:c r="M302" s="738"/>
      <x:c r="N302" s="738"/>
      <x:c r="O302" s="765"/>
    </x:row>
    <x:row r="303">
      <x:c r="A303" s="763"/>
      <x:c r="B303" s="764" t="str">
        <x:f>IF(A303="","",TEXT(A303,"ddd"))</x:f>
      </x:c>
      <x:c r="C303" s="764"/>
      <x:c r="D303" s="764"/>
      <x:c r="E303" s="764" t="str">
        <x:v>Extra</x:v>
      </x:c>
      <x:c r="F303" s="738"/>
      <x:c r="G303" s="738"/>
      <x:c r="H303" s="738"/>
      <x:c r="I303" s="738" t="str">
        <x:f>IF(AND(A303&lt;&gt;"",D303&lt;&gt;""),"Yes","")</x:f>
      </x:c>
      <x:c r="J303" s="738"/>
      <x:c r="K303" s="738" t="str">
        <x:v>None</x:v>
      </x:c>
      <x:c r="L303" s="738"/>
      <x:c r="M303" s="738"/>
      <x:c r="N303" s="738"/>
      <x:c r="O303" s="765"/>
    </x:row>
    <x:row r="304">
      <x:c r="A304" s="763"/>
      <x:c r="B304" s="764" t="str">
        <x:f>IF(A304="","",TEXT(A304,"ddd"))</x:f>
      </x:c>
      <x:c r="C304" s="764"/>
      <x:c r="D304" s="764"/>
      <x:c r="E304" s="764" t="str">
        <x:v>Extra</x:v>
      </x:c>
      <x:c r="F304" s="738"/>
      <x:c r="G304" s="738"/>
      <x:c r="H304" s="738"/>
      <x:c r="I304" s="738" t="str">
        <x:f>IF(AND(A304&lt;&gt;"",D304&lt;&gt;""),"Yes","")</x:f>
      </x:c>
      <x:c r="J304" s="738"/>
      <x:c r="K304" s="738" t="str">
        <x:v>None</x:v>
      </x:c>
      <x:c r="L304" s="738"/>
      <x:c r="M304" s="738"/>
      <x:c r="N304" s="738"/>
      <x:c r="O304" s="765"/>
    </x:row>
    <x:row r="305">
      <x:c r="A305" s="763"/>
      <x:c r="B305" s="764" t="str">
        <x:f>IF(A305="","",TEXT(A305,"ddd"))</x:f>
      </x:c>
      <x:c r="C305" s="764"/>
      <x:c r="D305" s="764"/>
      <x:c r="E305" s="764" t="str">
        <x:v>Extra</x:v>
      </x:c>
      <x:c r="F305" s="738"/>
      <x:c r="G305" s="738"/>
      <x:c r="H305" s="738"/>
      <x:c r="I305" s="738" t="str">
        <x:f>IF(AND(A305&lt;&gt;"",D305&lt;&gt;""),"Yes","")</x:f>
      </x:c>
      <x:c r="J305" s="738"/>
      <x:c r="K305" s="738" t="str">
        <x:v>None</x:v>
      </x:c>
      <x:c r="L305" s="738"/>
      <x:c r="M305" s="738"/>
      <x:c r="N305" s="738"/>
      <x:c r="O305" s="765"/>
    </x:row>
    <x:row r="306">
      <x:c r="A306" s="763"/>
      <x:c r="B306" s="764" t="str">
        <x:f>IF(A306="","",TEXT(A306,"ddd"))</x:f>
      </x:c>
      <x:c r="C306" s="764"/>
      <x:c r="D306" s="764"/>
      <x:c r="E306" s="764" t="str">
        <x:v>Extra</x:v>
      </x:c>
      <x:c r="F306" s="738"/>
      <x:c r="G306" s="738"/>
      <x:c r="H306" s="738"/>
      <x:c r="I306" s="738" t="str">
        <x:f>IF(AND(A306&lt;&gt;"",D306&lt;&gt;""),"Yes","")</x:f>
      </x:c>
      <x:c r="J306" s="738"/>
      <x:c r="K306" s="738" t="str">
        <x:v>None</x:v>
      </x:c>
      <x:c r="L306" s="738"/>
      <x:c r="M306" s="738"/>
      <x:c r="N306" s="738"/>
      <x:c r="O306" s="765"/>
    </x:row>
    <x:row r="307">
      <x:c r="A307" s="763"/>
      <x:c r="B307" s="764" t="str">
        <x:f>IF(A307="","",TEXT(A307,"ddd"))</x:f>
      </x:c>
      <x:c r="C307" s="764"/>
      <x:c r="D307" s="764"/>
      <x:c r="E307" s="764" t="str">
        <x:v>Extra</x:v>
      </x:c>
      <x:c r="F307" s="738"/>
      <x:c r="G307" s="738"/>
      <x:c r="H307" s="738"/>
      <x:c r="I307" s="738" t="str">
        <x:f>IF(AND(A307&lt;&gt;"",D307&lt;&gt;""),"Yes","")</x:f>
      </x:c>
      <x:c r="J307" s="738"/>
      <x:c r="K307" s="738" t="str">
        <x:v>None</x:v>
      </x:c>
      <x:c r="L307" s="738"/>
      <x:c r="M307" s="738"/>
      <x:c r="N307" s="738"/>
      <x:c r="O307" s="765"/>
    </x:row>
    <x:row r="308">
      <x:c r="A308" s="763"/>
      <x:c r="B308" s="764" t="str">
        <x:f>IF(A308="","",TEXT(A308,"ddd"))</x:f>
      </x:c>
      <x:c r="C308" s="764"/>
      <x:c r="D308" s="764"/>
      <x:c r="E308" s="764" t="str">
        <x:v>Extra</x:v>
      </x:c>
      <x:c r="F308" s="738"/>
      <x:c r="G308" s="738"/>
      <x:c r="H308" s="738"/>
      <x:c r="I308" s="738" t="str">
        <x:f>IF(AND(A308&lt;&gt;"",D308&lt;&gt;""),"Yes","")</x:f>
      </x:c>
      <x:c r="J308" s="738"/>
      <x:c r="K308" s="738" t="str">
        <x:v>None</x:v>
      </x:c>
      <x:c r="L308" s="738"/>
      <x:c r="M308" s="738"/>
      <x:c r="N308" s="738"/>
      <x:c r="O308" s="765"/>
    </x:row>
    <x:row r="309">
      <x:c r="A309" s="763"/>
      <x:c r="B309" s="764" t="str">
        <x:f>IF(A309="","",TEXT(A309,"ddd"))</x:f>
      </x:c>
      <x:c r="C309" s="764"/>
      <x:c r="D309" s="764"/>
      <x:c r="E309" s="764" t="str">
        <x:v>Extra</x:v>
      </x:c>
      <x:c r="F309" s="738"/>
      <x:c r="G309" s="738"/>
      <x:c r="H309" s="738"/>
      <x:c r="I309" s="738" t="str">
        <x:f>IF(AND(A309&lt;&gt;"",D309&lt;&gt;""),"Yes","")</x:f>
      </x:c>
      <x:c r="J309" s="738"/>
      <x:c r="K309" s="738" t="str">
        <x:v>None</x:v>
      </x:c>
      <x:c r="L309" s="738"/>
      <x:c r="M309" s="738"/>
      <x:c r="N309" s="738"/>
      <x:c r="O309" s="765"/>
    </x:row>
    <x:row r="310">
      <x:c r="A310" s="763"/>
      <x:c r="B310" s="764" t="str">
        <x:f>IF(A310="","",TEXT(A310,"ddd"))</x:f>
      </x:c>
      <x:c r="C310" s="764"/>
      <x:c r="D310" s="764"/>
      <x:c r="E310" s="764" t="str">
        <x:v>Extra</x:v>
      </x:c>
      <x:c r="F310" s="738"/>
      <x:c r="G310" s="738"/>
      <x:c r="H310" s="738"/>
      <x:c r="I310" s="738" t="str">
        <x:f>IF(AND(A310&lt;&gt;"",D310&lt;&gt;""),"Yes","")</x:f>
      </x:c>
      <x:c r="J310" s="738"/>
      <x:c r="K310" s="738" t="str">
        <x:v>None</x:v>
      </x:c>
      <x:c r="L310" s="738"/>
      <x:c r="M310" s="738"/>
      <x:c r="N310" s="738"/>
      <x:c r="O310" s="765"/>
    </x:row>
    <x:row r="311">
      <x:c r="A311" s="763"/>
      <x:c r="B311" s="764" t="str">
        <x:f>IF(A311="","",TEXT(A311,"ddd"))</x:f>
      </x:c>
      <x:c r="C311" s="764"/>
      <x:c r="D311" s="764"/>
      <x:c r="E311" s="764" t="str">
        <x:v>Extra</x:v>
      </x:c>
      <x:c r="F311" s="738"/>
      <x:c r="G311" s="738"/>
      <x:c r="H311" s="738"/>
      <x:c r="I311" s="738" t="str">
        <x:f>IF(AND(A311&lt;&gt;"",D311&lt;&gt;""),"Yes","")</x:f>
      </x:c>
      <x:c r="J311" s="738"/>
      <x:c r="K311" s="738" t="str">
        <x:v>None</x:v>
      </x:c>
      <x:c r="L311" s="738"/>
      <x:c r="M311" s="738"/>
      <x:c r="N311" s="738"/>
      <x:c r="O311" s="765"/>
    </x:row>
    <x:row r="312">
      <x:c r="A312" s="763"/>
      <x:c r="B312" s="764" t="str">
        <x:f>IF(A312="","",TEXT(A312,"ddd"))</x:f>
      </x:c>
      <x:c r="C312" s="764"/>
      <x:c r="D312" s="764"/>
      <x:c r="E312" s="764" t="str">
        <x:v>Extra</x:v>
      </x:c>
      <x:c r="F312" s="738"/>
      <x:c r="G312" s="738"/>
      <x:c r="H312" s="738"/>
      <x:c r="I312" s="738" t="str">
        <x:f>IF(AND(A312&lt;&gt;"",D312&lt;&gt;""),"Yes","")</x:f>
      </x:c>
      <x:c r="J312" s="738"/>
      <x:c r="K312" s="738" t="str">
        <x:v>None</x:v>
      </x:c>
      <x:c r="L312" s="738"/>
      <x:c r="M312" s="738"/>
      <x:c r="N312" s="738"/>
      <x:c r="O312" s="765"/>
    </x:row>
    <x:row r="313">
      <x:c r="A313" s="763"/>
      <x:c r="B313" s="764" t="str">
        <x:f>IF(A313="","",TEXT(A313,"ddd"))</x:f>
      </x:c>
      <x:c r="C313" s="764"/>
      <x:c r="D313" s="764"/>
      <x:c r="E313" s="764" t="str">
        <x:v>Extra</x:v>
      </x:c>
      <x:c r="F313" s="738"/>
      <x:c r="G313" s="738"/>
      <x:c r="H313" s="738"/>
      <x:c r="I313" s="738" t="str">
        <x:f>IF(AND(A313&lt;&gt;"",D313&lt;&gt;""),"Yes","")</x:f>
      </x:c>
      <x:c r="J313" s="738"/>
      <x:c r="K313" s="738" t="str">
        <x:v>None</x:v>
      </x:c>
      <x:c r="L313" s="738"/>
      <x:c r="M313" s="738"/>
      <x:c r="N313" s="738"/>
      <x:c r="O313" s="765"/>
    </x:row>
    <x:row r="314">
      <x:c r="A314" s="763"/>
      <x:c r="B314" s="764" t="str">
        <x:f>IF(A314="","",TEXT(A314,"ddd"))</x:f>
      </x:c>
      <x:c r="C314" s="764"/>
      <x:c r="D314" s="764"/>
      <x:c r="E314" s="764" t="str">
        <x:v>Extra</x:v>
      </x:c>
      <x:c r="F314" s="738"/>
      <x:c r="G314" s="738"/>
      <x:c r="H314" s="738"/>
      <x:c r="I314" s="738" t="str">
        <x:f>IF(AND(A314&lt;&gt;"",D314&lt;&gt;""),"Yes","")</x:f>
      </x:c>
      <x:c r="J314" s="738"/>
      <x:c r="K314" s="738" t="str">
        <x:v>None</x:v>
      </x:c>
      <x:c r="L314" s="738"/>
      <x:c r="M314" s="738"/>
      <x:c r="N314" s="738"/>
      <x:c r="O314" s="765"/>
    </x:row>
    <x:row r="315">
      <x:c r="A315" s="763"/>
      <x:c r="B315" s="764" t="str">
        <x:f>IF(A315="","",TEXT(A315,"ddd"))</x:f>
      </x:c>
      <x:c r="C315" s="764"/>
      <x:c r="D315" s="764"/>
      <x:c r="E315" s="764" t="str">
        <x:v>Extra</x:v>
      </x:c>
      <x:c r="F315" s="738"/>
      <x:c r="G315" s="738"/>
      <x:c r="H315" s="738"/>
      <x:c r="I315" s="738" t="str">
        <x:f>IF(AND(A315&lt;&gt;"",D315&lt;&gt;""),"Yes","")</x:f>
      </x:c>
      <x:c r="J315" s="738"/>
      <x:c r="K315" s="738" t="str">
        <x:v>None</x:v>
      </x:c>
      <x:c r="L315" s="738"/>
      <x:c r="M315" s="738"/>
      <x:c r="N315" s="738"/>
      <x:c r="O315" s="765"/>
    </x:row>
    <x:row r="316">
      <x:c r="A316" s="763"/>
      <x:c r="B316" s="764" t="str">
        <x:f>IF(A316="","",TEXT(A316,"ddd"))</x:f>
      </x:c>
      <x:c r="C316" s="764"/>
      <x:c r="D316" s="764"/>
      <x:c r="E316" s="764" t="str">
        <x:v>Extra</x:v>
      </x:c>
      <x:c r="F316" s="738"/>
      <x:c r="G316" s="738"/>
      <x:c r="H316" s="738"/>
      <x:c r="I316" s="738" t="str">
        <x:f>IF(AND(A316&lt;&gt;"",D316&lt;&gt;""),"Yes","")</x:f>
      </x:c>
      <x:c r="J316" s="738"/>
      <x:c r="K316" s="738" t="str">
        <x:v>None</x:v>
      </x:c>
      <x:c r="L316" s="738"/>
      <x:c r="M316" s="738"/>
      <x:c r="N316" s="738"/>
      <x:c r="O316" s="765"/>
    </x:row>
    <x:row r="317">
      <x:c r="A317" s="763"/>
      <x:c r="B317" s="764" t="str">
        <x:f>IF(A317="","",TEXT(A317,"ddd"))</x:f>
      </x:c>
      <x:c r="C317" s="764"/>
      <x:c r="D317" s="764"/>
      <x:c r="E317" s="764" t="str">
        <x:v>Extra</x:v>
      </x:c>
      <x:c r="F317" s="738"/>
      <x:c r="G317" s="738"/>
      <x:c r="H317" s="738"/>
      <x:c r="I317" s="738" t="str">
        <x:f>IF(AND(A317&lt;&gt;"",D317&lt;&gt;""),"Yes","")</x:f>
      </x:c>
      <x:c r="J317" s="738"/>
      <x:c r="K317" s="738" t="str">
        <x:v>None</x:v>
      </x:c>
      <x:c r="L317" s="738"/>
      <x:c r="M317" s="738"/>
      <x:c r="N317" s="738"/>
      <x:c r="O317" s="765"/>
    </x:row>
    <x:row r="318">
      <x:c r="A318" s="763"/>
      <x:c r="B318" s="764" t="str">
        <x:f>IF(A318="","",TEXT(A318,"ddd"))</x:f>
      </x:c>
      <x:c r="C318" s="764"/>
      <x:c r="D318" s="764"/>
      <x:c r="E318" s="764" t="str">
        <x:v>Extra</x:v>
      </x:c>
      <x:c r="F318" s="738"/>
      <x:c r="G318" s="738"/>
      <x:c r="H318" s="738"/>
      <x:c r="I318" s="738" t="str">
        <x:f>IF(AND(A318&lt;&gt;"",D318&lt;&gt;""),"Yes","")</x:f>
      </x:c>
      <x:c r="J318" s="738"/>
      <x:c r="K318" s="738" t="str">
        <x:v>None</x:v>
      </x:c>
      <x:c r="L318" s="738"/>
      <x:c r="M318" s="738"/>
      <x:c r="N318" s="738"/>
      <x:c r="O318" s="765"/>
    </x:row>
    <x:row r="319">
      <x:c r="A319" s="763"/>
      <x:c r="B319" s="764" t="str">
        <x:f>IF(A319="","",TEXT(A319,"ddd"))</x:f>
      </x:c>
      <x:c r="C319" s="764"/>
      <x:c r="D319" s="764"/>
      <x:c r="E319" s="764" t="str">
        <x:v>Extra</x:v>
      </x:c>
      <x:c r="F319" s="738"/>
      <x:c r="G319" s="738"/>
      <x:c r="H319" s="738"/>
      <x:c r="I319" s="738" t="str">
        <x:f>IF(AND(A319&lt;&gt;"",D319&lt;&gt;""),"Yes","")</x:f>
      </x:c>
      <x:c r="J319" s="738"/>
      <x:c r="K319" s="738" t="str">
        <x:v>None</x:v>
      </x:c>
      <x:c r="L319" s="738"/>
      <x:c r="M319" s="738"/>
      <x:c r="N319" s="738"/>
      <x:c r="O319" s="765"/>
    </x:row>
    <x:row r="320">
      <x:c r="A320" s="763"/>
      <x:c r="B320" s="764" t="str">
        <x:f>IF(A320="","",TEXT(A320,"ddd"))</x:f>
      </x:c>
      <x:c r="C320" s="764"/>
      <x:c r="D320" s="764"/>
      <x:c r="E320" s="764" t="str">
        <x:v>Extra</x:v>
      </x:c>
      <x:c r="F320" s="738"/>
      <x:c r="G320" s="738"/>
      <x:c r="H320" s="738"/>
      <x:c r="I320" s="738" t="str">
        <x:f>IF(AND(A320&lt;&gt;"",D320&lt;&gt;""),"Yes","")</x:f>
      </x:c>
      <x:c r="J320" s="738"/>
      <x:c r="K320" s="738" t="str">
        <x:v>None</x:v>
      </x:c>
      <x:c r="L320" s="738"/>
      <x:c r="M320" s="738"/>
      <x:c r="N320" s="738"/>
      <x:c r="O320" s="765"/>
    </x:row>
    <x:row r="321">
      <x:c r="A321" s="763"/>
      <x:c r="B321" s="764" t="str">
        <x:f>IF(A321="","",TEXT(A321,"ddd"))</x:f>
      </x:c>
      <x:c r="C321" s="764"/>
      <x:c r="D321" s="764"/>
      <x:c r="E321" s="764" t="str">
        <x:v>Extra</x:v>
      </x:c>
      <x:c r="F321" s="738"/>
      <x:c r="G321" s="738"/>
      <x:c r="H321" s="738"/>
      <x:c r="I321" s="738" t="str">
        <x:f>IF(AND(A321&lt;&gt;"",D321&lt;&gt;""),"Yes","")</x:f>
      </x:c>
      <x:c r="J321" s="738"/>
      <x:c r="K321" s="738" t="str">
        <x:v>None</x:v>
      </x:c>
      <x:c r="L321" s="738"/>
      <x:c r="M321" s="738"/>
      <x:c r="N321" s="738"/>
      <x:c r="O321" s="765"/>
    </x:row>
    <x:row r="322">
      <x:c r="A322" s="763"/>
      <x:c r="B322" s="764" t="str">
        <x:f>IF(A322="","",TEXT(A322,"ddd"))</x:f>
      </x:c>
      <x:c r="C322" s="764"/>
      <x:c r="D322" s="764"/>
      <x:c r="E322" s="764" t="str">
        <x:v>Extra</x:v>
      </x:c>
      <x:c r="F322" s="738"/>
      <x:c r="G322" s="738"/>
      <x:c r="H322" s="738"/>
      <x:c r="I322" s="738" t="str">
        <x:f>IF(AND(A322&lt;&gt;"",D322&lt;&gt;""),"Yes","")</x:f>
      </x:c>
      <x:c r="J322" s="738"/>
      <x:c r="K322" s="738" t="str">
        <x:v>None</x:v>
      </x:c>
      <x:c r="L322" s="738"/>
      <x:c r="M322" s="738"/>
      <x:c r="N322" s="738"/>
      <x:c r="O322" s="765"/>
    </x:row>
    <x:row r="323">
      <x:c r="A323" s="763"/>
      <x:c r="B323" s="764" t="str">
        <x:f>IF(A323="","",TEXT(A323,"ddd"))</x:f>
      </x:c>
      <x:c r="C323" s="764"/>
      <x:c r="D323" s="764"/>
      <x:c r="E323" s="764" t="str">
        <x:v>Extra</x:v>
      </x:c>
      <x:c r="F323" s="738"/>
      <x:c r="G323" s="738"/>
      <x:c r="H323" s="738"/>
      <x:c r="I323" s="738" t="str">
        <x:f>IF(AND(A323&lt;&gt;"",D323&lt;&gt;""),"Yes","")</x:f>
      </x:c>
      <x:c r="J323" s="738"/>
      <x:c r="K323" s="738" t="str">
        <x:v>None</x:v>
      </x:c>
      <x:c r="L323" s="738"/>
      <x:c r="M323" s="738"/>
      <x:c r="N323" s="738"/>
      <x:c r="O323" s="765"/>
    </x:row>
    <x:row r="324">
      <x:c r="A324" s="763"/>
      <x:c r="B324" s="764" t="str">
        <x:f>IF(A324="","",TEXT(A324,"ddd"))</x:f>
      </x:c>
      <x:c r="C324" s="764"/>
      <x:c r="D324" s="764"/>
      <x:c r="E324" s="764" t="str">
        <x:v>Extra</x:v>
      </x:c>
      <x:c r="F324" s="738"/>
      <x:c r="G324" s="738"/>
      <x:c r="H324" s="738"/>
      <x:c r="I324" s="738" t="str">
        <x:f>IF(AND(A324&lt;&gt;"",D324&lt;&gt;""),"Yes","")</x:f>
      </x:c>
      <x:c r="J324" s="738"/>
      <x:c r="K324" s="738" t="str">
        <x:v>None</x:v>
      </x:c>
      <x:c r="L324" s="738"/>
      <x:c r="M324" s="738"/>
      <x:c r="N324" s="738"/>
      <x:c r="O324" s="765"/>
    </x:row>
    <x:row r="325">
      <x:c r="A325" s="763"/>
      <x:c r="B325" s="764" t="str">
        <x:f>IF(A325="","",TEXT(A325,"ddd"))</x:f>
      </x:c>
      <x:c r="C325" s="764"/>
      <x:c r="D325" s="764"/>
      <x:c r="E325" s="764" t="str">
        <x:v>Extra</x:v>
      </x:c>
      <x:c r="F325" s="738"/>
      <x:c r="G325" s="738"/>
      <x:c r="H325" s="738"/>
      <x:c r="I325" s="738" t="str">
        <x:f>IF(AND(A325&lt;&gt;"",D325&lt;&gt;""),"Yes","")</x:f>
      </x:c>
      <x:c r="J325" s="738"/>
      <x:c r="K325" s="738" t="str">
        <x:v>None</x:v>
      </x:c>
      <x:c r="L325" s="738"/>
      <x:c r="M325" s="738"/>
      <x:c r="N325" s="738"/>
      <x:c r="O325" s="765"/>
    </x:row>
    <x:row r="326">
      <x:c r="A326" s="763"/>
      <x:c r="B326" s="764" t="str">
        <x:f>IF(A326="","",TEXT(A326,"ddd"))</x:f>
      </x:c>
      <x:c r="C326" s="764"/>
      <x:c r="D326" s="764"/>
      <x:c r="E326" s="764" t="str">
        <x:v>Extra</x:v>
      </x:c>
      <x:c r="F326" s="738"/>
      <x:c r="G326" s="738"/>
      <x:c r="H326" s="738"/>
      <x:c r="I326" s="738" t="str">
        <x:f>IF(AND(A326&lt;&gt;"",D326&lt;&gt;""),"Yes","")</x:f>
      </x:c>
      <x:c r="J326" s="738"/>
      <x:c r="K326" s="738" t="str">
        <x:v>None</x:v>
      </x:c>
      <x:c r="L326" s="738"/>
      <x:c r="M326" s="738"/>
      <x:c r="N326" s="738"/>
      <x:c r="O326" s="765"/>
    </x:row>
    <x:row r="327">
      <x:c r="A327" s="763"/>
      <x:c r="B327" s="764" t="str">
        <x:f>IF(A327="","",TEXT(A327,"ddd"))</x:f>
      </x:c>
      <x:c r="C327" s="764"/>
      <x:c r="D327" s="764"/>
      <x:c r="E327" s="764" t="str">
        <x:v>Extra</x:v>
      </x:c>
      <x:c r="F327" s="738"/>
      <x:c r="G327" s="738"/>
      <x:c r="H327" s="738"/>
      <x:c r="I327" s="738" t="str">
        <x:f>IF(AND(A327&lt;&gt;"",D327&lt;&gt;""),"Yes","")</x:f>
      </x:c>
      <x:c r="J327" s="738"/>
      <x:c r="K327" s="738" t="str">
        <x:v>None</x:v>
      </x:c>
      <x:c r="L327" s="738"/>
      <x:c r="M327" s="738"/>
      <x:c r="N327" s="738"/>
      <x:c r="O327" s="765"/>
    </x:row>
    <x:row r="328">
      <x:c r="A328" s="763"/>
      <x:c r="B328" s="764" t="str">
        <x:f>IF(A328="","",TEXT(A328,"ddd"))</x:f>
      </x:c>
      <x:c r="C328" s="764"/>
      <x:c r="D328" s="764"/>
      <x:c r="E328" s="764" t="str">
        <x:v>Extra</x:v>
      </x:c>
      <x:c r="F328" s="738"/>
      <x:c r="G328" s="738"/>
      <x:c r="H328" s="738"/>
      <x:c r="I328" s="738" t="str">
        <x:f>IF(AND(A328&lt;&gt;"",D328&lt;&gt;""),"Yes","")</x:f>
      </x:c>
      <x:c r="J328" s="738"/>
      <x:c r="K328" s="738" t="str">
        <x:v>None</x:v>
      </x:c>
      <x:c r="L328" s="738"/>
      <x:c r="M328" s="738"/>
      <x:c r="N328" s="738"/>
      <x:c r="O328" s="765"/>
    </x:row>
    <x:row r="329">
      <x:c r="A329" s="763"/>
      <x:c r="B329" s="764" t="str">
        <x:f>IF(A329="","",TEXT(A329,"ddd"))</x:f>
      </x:c>
      <x:c r="C329" s="764"/>
      <x:c r="D329" s="764"/>
      <x:c r="E329" s="764" t="str">
        <x:v>Extra</x:v>
      </x:c>
      <x:c r="F329" s="738"/>
      <x:c r="G329" s="738"/>
      <x:c r="H329" s="738"/>
      <x:c r="I329" s="738" t="str">
        <x:f>IF(AND(A329&lt;&gt;"",D329&lt;&gt;""),"Yes","")</x:f>
      </x:c>
      <x:c r="J329" s="738"/>
      <x:c r="K329" s="738" t="str">
        <x:v>None</x:v>
      </x:c>
      <x:c r="L329" s="738"/>
      <x:c r="M329" s="738"/>
      <x:c r="N329" s="738"/>
      <x:c r="O329" s="765"/>
    </x:row>
    <x:row r="330">
      <x:c r="A330" s="763"/>
      <x:c r="B330" s="764" t="str">
        <x:f>IF(A330="","",TEXT(A330,"ddd"))</x:f>
      </x:c>
      <x:c r="C330" s="764"/>
      <x:c r="D330" s="764"/>
      <x:c r="E330" s="764" t="str">
        <x:v>Extra</x:v>
      </x:c>
      <x:c r="F330" s="738"/>
      <x:c r="G330" s="738"/>
      <x:c r="H330" s="738"/>
      <x:c r="I330" s="738" t="str">
        <x:f>IF(AND(A330&lt;&gt;"",D330&lt;&gt;""),"Yes","")</x:f>
      </x:c>
      <x:c r="J330" s="738"/>
      <x:c r="K330" s="738" t="str">
        <x:v>None</x:v>
      </x:c>
      <x:c r="L330" s="738"/>
      <x:c r="M330" s="738"/>
      <x:c r="N330" s="738"/>
      <x:c r="O330" s="765"/>
    </x:row>
    <x:row r="331">
      <x:c r="A331" s="763"/>
      <x:c r="B331" s="764" t="str">
        <x:f>IF(A331="","",TEXT(A331,"ddd"))</x:f>
      </x:c>
      <x:c r="C331" s="764"/>
      <x:c r="D331" s="764"/>
      <x:c r="E331" s="764" t="str">
        <x:v>Extra</x:v>
      </x:c>
      <x:c r="F331" s="738"/>
      <x:c r="G331" s="738"/>
      <x:c r="H331" s="738"/>
      <x:c r="I331" s="738" t="str">
        <x:f>IF(AND(A331&lt;&gt;"",D331&lt;&gt;""),"Yes","")</x:f>
      </x:c>
      <x:c r="J331" s="738"/>
      <x:c r="K331" s="738" t="str">
        <x:v>None</x:v>
      </x:c>
      <x:c r="L331" s="738"/>
      <x:c r="M331" s="738"/>
      <x:c r="N331" s="738"/>
      <x:c r="O331" s="765"/>
    </x:row>
    <x:row r="332">
      <x:c r="A332" s="763"/>
      <x:c r="B332" s="764" t="str">
        <x:f>IF(A332="","",TEXT(A332,"ddd"))</x:f>
      </x:c>
      <x:c r="C332" s="764"/>
      <x:c r="D332" s="764"/>
      <x:c r="E332" s="764" t="str">
        <x:v>Extra</x:v>
      </x:c>
      <x:c r="F332" s="738"/>
      <x:c r="G332" s="738"/>
      <x:c r="H332" s="738"/>
      <x:c r="I332" s="738" t="str">
        <x:f>IF(AND(A332&lt;&gt;"",D332&lt;&gt;""),"Yes","")</x:f>
      </x:c>
      <x:c r="J332" s="738"/>
      <x:c r="K332" s="738" t="str">
        <x:v>None</x:v>
      </x:c>
      <x:c r="L332" s="738"/>
      <x:c r="M332" s="738"/>
      <x:c r="N332" s="738"/>
      <x:c r="O332" s="765"/>
    </x:row>
    <x:row r="333">
      <x:c r="A333" s="763"/>
      <x:c r="B333" s="764" t="str">
        <x:f>IF(A333="","",TEXT(A333,"ddd"))</x:f>
      </x:c>
      <x:c r="C333" s="764"/>
      <x:c r="D333" s="764"/>
      <x:c r="E333" s="764" t="str">
        <x:v>Extra</x:v>
      </x:c>
      <x:c r="F333" s="738"/>
      <x:c r="G333" s="738"/>
      <x:c r="H333" s="738"/>
      <x:c r="I333" s="738" t="str">
        <x:f>IF(AND(A333&lt;&gt;"",D333&lt;&gt;""),"Yes","")</x:f>
      </x:c>
      <x:c r="J333" s="738"/>
      <x:c r="K333" s="738" t="str">
        <x:v>None</x:v>
      </x:c>
      <x:c r="L333" s="738"/>
      <x:c r="M333" s="738"/>
      <x:c r="N333" s="738"/>
      <x:c r="O333" s="765"/>
    </x:row>
    <x:row r="334">
      <x:c r="A334" s="763"/>
      <x:c r="B334" s="764" t="str">
        <x:f>IF(A334="","",TEXT(A334,"ddd"))</x:f>
      </x:c>
      <x:c r="C334" s="764"/>
      <x:c r="D334" s="764"/>
      <x:c r="E334" s="764" t="str">
        <x:v>Extra</x:v>
      </x:c>
      <x:c r="F334" s="738"/>
      <x:c r="G334" s="738"/>
      <x:c r="H334" s="738"/>
      <x:c r="I334" s="738" t="str">
        <x:f>IF(AND(A334&lt;&gt;"",D334&lt;&gt;""),"Yes","")</x:f>
      </x:c>
      <x:c r="J334" s="738"/>
      <x:c r="K334" s="738" t="str">
        <x:v>None</x:v>
      </x:c>
      <x:c r="L334" s="738"/>
      <x:c r="M334" s="738"/>
      <x:c r="N334" s="738"/>
      <x:c r="O334" s="765"/>
    </x:row>
    <x:row r="335">
      <x:c r="A335" s="763"/>
      <x:c r="B335" s="764" t="str">
        <x:f>IF(A335="","",TEXT(A335,"ddd"))</x:f>
      </x:c>
      <x:c r="C335" s="764"/>
      <x:c r="D335" s="764"/>
      <x:c r="E335" s="764" t="str">
        <x:v>Extra</x:v>
      </x:c>
      <x:c r="F335" s="738"/>
      <x:c r="G335" s="738"/>
      <x:c r="H335" s="738"/>
      <x:c r="I335" s="738" t="str">
        <x:f>IF(AND(A335&lt;&gt;"",D335&lt;&gt;""),"Yes","")</x:f>
      </x:c>
      <x:c r="J335" s="738"/>
      <x:c r="K335" s="738" t="str">
        <x:v>None</x:v>
      </x:c>
      <x:c r="L335" s="738"/>
      <x:c r="M335" s="738"/>
      <x:c r="N335" s="738"/>
      <x:c r="O335" s="765"/>
    </x:row>
    <x:row r="336">
      <x:c r="A336" s="763"/>
      <x:c r="B336" s="764" t="str">
        <x:f>IF(A336="","",TEXT(A336,"ddd"))</x:f>
      </x:c>
      <x:c r="C336" s="764"/>
      <x:c r="D336" s="764"/>
      <x:c r="E336" s="764" t="str">
        <x:v>Extra</x:v>
      </x:c>
      <x:c r="F336" s="738"/>
      <x:c r="G336" s="738"/>
      <x:c r="H336" s="738"/>
      <x:c r="I336" s="738" t="str">
        <x:f>IF(AND(A336&lt;&gt;"",D336&lt;&gt;""),"Yes","")</x:f>
      </x:c>
      <x:c r="J336" s="738"/>
      <x:c r="K336" s="738" t="str">
        <x:v>None</x:v>
      </x:c>
      <x:c r="L336" s="738"/>
      <x:c r="M336" s="738"/>
      <x:c r="N336" s="738"/>
      <x:c r="O336" s="765"/>
    </x:row>
    <x:row r="337">
      <x:c r="A337" s="763"/>
      <x:c r="B337" s="764" t="str">
        <x:f>IF(A337="","",TEXT(A337,"ddd"))</x:f>
      </x:c>
      <x:c r="C337" s="764"/>
      <x:c r="D337" s="764"/>
      <x:c r="E337" s="764" t="str">
        <x:v>Extra</x:v>
      </x:c>
      <x:c r="F337" s="738"/>
      <x:c r="G337" s="738"/>
      <x:c r="H337" s="738"/>
      <x:c r="I337" s="738" t="str">
        <x:f>IF(AND(A337&lt;&gt;"",D337&lt;&gt;""),"Yes","")</x:f>
      </x:c>
      <x:c r="J337" s="738"/>
      <x:c r="K337" s="738" t="str">
        <x:v>None</x:v>
      </x:c>
      <x:c r="L337" s="738"/>
      <x:c r="M337" s="738"/>
      <x:c r="N337" s="738"/>
      <x:c r="O337" s="765"/>
    </x:row>
    <x:row r="338">
      <x:c r="A338" s="763"/>
      <x:c r="B338" s="764" t="str">
        <x:f>IF(A338="","",TEXT(A338,"ddd"))</x:f>
      </x:c>
      <x:c r="C338" s="764"/>
      <x:c r="D338" s="764"/>
      <x:c r="E338" s="764" t="str">
        <x:v>Extra</x:v>
      </x:c>
      <x:c r="F338" s="738"/>
      <x:c r="G338" s="738"/>
      <x:c r="H338" s="738"/>
      <x:c r="I338" s="738" t="str">
        <x:f>IF(AND(A338&lt;&gt;"",D338&lt;&gt;""),"Yes","")</x:f>
      </x:c>
      <x:c r="J338" s="738"/>
      <x:c r="K338" s="738" t="str">
        <x:v>None</x:v>
      </x:c>
      <x:c r="L338" s="738"/>
      <x:c r="M338" s="738"/>
      <x:c r="N338" s="738"/>
      <x:c r="O338" s="765"/>
    </x:row>
    <x:row r="339">
      <x:c r="A339" s="763"/>
      <x:c r="B339" s="764" t="str">
        <x:f>IF(A339="","",TEXT(A339,"ddd"))</x:f>
      </x:c>
      <x:c r="C339" s="764"/>
      <x:c r="D339" s="764"/>
      <x:c r="E339" s="764" t="str">
        <x:v>Extra</x:v>
      </x:c>
      <x:c r="F339" s="738"/>
      <x:c r="G339" s="738"/>
      <x:c r="H339" s="738"/>
      <x:c r="I339" s="738" t="str">
        <x:f>IF(AND(A339&lt;&gt;"",D339&lt;&gt;""),"Yes","")</x:f>
      </x:c>
      <x:c r="J339" s="738"/>
      <x:c r="K339" s="738" t="str">
        <x:v>None</x:v>
      </x:c>
      <x:c r="L339" s="738"/>
      <x:c r="M339" s="738"/>
      <x:c r="N339" s="738"/>
      <x:c r="O339" s="765"/>
    </x:row>
    <x:row r="340">
      <x:c r="A340" s="763"/>
      <x:c r="B340" s="764" t="str">
        <x:f>IF(A340="","",TEXT(A340,"ddd"))</x:f>
      </x:c>
      <x:c r="C340" s="764"/>
      <x:c r="D340" s="764"/>
      <x:c r="E340" s="764" t="str">
        <x:v>Extra</x:v>
      </x:c>
      <x:c r="F340" s="738"/>
      <x:c r="G340" s="738"/>
      <x:c r="H340" s="738"/>
      <x:c r="I340" s="738" t="str">
        <x:f>IF(AND(A340&lt;&gt;"",D340&lt;&gt;""),"Yes","")</x:f>
      </x:c>
      <x:c r="J340" s="738"/>
      <x:c r="K340" s="738" t="str">
        <x:v>None</x:v>
      </x:c>
      <x:c r="L340" s="738"/>
      <x:c r="M340" s="738"/>
      <x:c r="N340" s="738"/>
      <x:c r="O340" s="765"/>
    </x:row>
    <x:row r="341">
      <x:c r="A341" s="763"/>
      <x:c r="B341" s="764" t="str">
        <x:f>IF(A341="","",TEXT(A341,"ddd"))</x:f>
      </x:c>
      <x:c r="C341" s="764"/>
      <x:c r="D341" s="764"/>
      <x:c r="E341" s="764" t="str">
        <x:v>Extra</x:v>
      </x:c>
      <x:c r="F341" s="738"/>
      <x:c r="G341" s="738"/>
      <x:c r="H341" s="738"/>
      <x:c r="I341" s="738" t="str">
        <x:f>IF(AND(A341&lt;&gt;"",D341&lt;&gt;""),"Yes","")</x:f>
      </x:c>
      <x:c r="J341" s="738"/>
      <x:c r="K341" s="738" t="str">
        <x:v>None</x:v>
      </x:c>
      <x:c r="L341" s="738"/>
      <x:c r="M341" s="738"/>
      <x:c r="N341" s="738"/>
      <x:c r="O341" s="765"/>
    </x:row>
    <x:row r="342">
      <x:c r="A342" s="763"/>
      <x:c r="B342" s="764" t="str">
        <x:f>IF(A342="","",TEXT(A342,"ddd"))</x:f>
      </x:c>
      <x:c r="C342" s="764"/>
      <x:c r="D342" s="764"/>
      <x:c r="E342" s="764" t="str">
        <x:v>Extra</x:v>
      </x:c>
      <x:c r="F342" s="738"/>
      <x:c r="G342" s="738"/>
      <x:c r="H342" s="738"/>
      <x:c r="I342" s="738" t="str">
        <x:f>IF(AND(A342&lt;&gt;"",D342&lt;&gt;""),"Yes","")</x:f>
      </x:c>
      <x:c r="J342" s="738"/>
      <x:c r="K342" s="738" t="str">
        <x:v>None</x:v>
      </x:c>
      <x:c r="L342" s="738"/>
      <x:c r="M342" s="738"/>
      <x:c r="N342" s="738"/>
      <x:c r="O342" s="765"/>
    </x:row>
    <x:row r="343">
      <x:c r="A343" s="763"/>
      <x:c r="B343" s="764" t="str">
        <x:f>IF(A343="","",TEXT(A343,"ddd"))</x:f>
      </x:c>
      <x:c r="C343" s="764"/>
      <x:c r="D343" s="764"/>
      <x:c r="E343" s="764" t="str">
        <x:v>Extra</x:v>
      </x:c>
      <x:c r="F343" s="738"/>
      <x:c r="G343" s="738"/>
      <x:c r="H343" s="738"/>
      <x:c r="I343" s="738" t="str">
        <x:f>IF(AND(A343&lt;&gt;"",D343&lt;&gt;""),"Yes","")</x:f>
      </x:c>
      <x:c r="J343" s="738"/>
      <x:c r="K343" s="738" t="str">
        <x:v>None</x:v>
      </x:c>
      <x:c r="L343" s="738"/>
      <x:c r="M343" s="738"/>
      <x:c r="N343" s="738"/>
      <x:c r="O343" s="765"/>
    </x:row>
    <x:row r="344">
      <x:c r="A344" s="763"/>
      <x:c r="B344" s="764" t="str">
        <x:f>IF(A344="","",TEXT(A344,"ddd"))</x:f>
      </x:c>
      <x:c r="C344" s="764"/>
      <x:c r="D344" s="764"/>
      <x:c r="E344" s="764" t="str">
        <x:v>Extra</x:v>
      </x:c>
      <x:c r="F344" s="738"/>
      <x:c r="G344" s="738"/>
      <x:c r="H344" s="738"/>
      <x:c r="I344" s="738" t="str">
        <x:f>IF(AND(A344&lt;&gt;"",D344&lt;&gt;""),"Yes","")</x:f>
      </x:c>
      <x:c r="J344" s="738"/>
      <x:c r="K344" s="738" t="str">
        <x:v>None</x:v>
      </x:c>
      <x:c r="L344" s="738"/>
      <x:c r="M344" s="738"/>
      <x:c r="N344" s="738"/>
      <x:c r="O344" s="765"/>
    </x:row>
    <x:row r="345">
      <x:c r="A345" s="763"/>
      <x:c r="B345" s="764" t="str">
        <x:f>IF(A345="","",TEXT(A345,"ddd"))</x:f>
      </x:c>
      <x:c r="C345" s="764"/>
      <x:c r="D345" s="764"/>
      <x:c r="E345" s="764" t="str">
        <x:v>Extra</x:v>
      </x:c>
      <x:c r="F345" s="738"/>
      <x:c r="G345" s="738"/>
      <x:c r="H345" s="738"/>
      <x:c r="I345" s="738" t="str">
        <x:f>IF(AND(A345&lt;&gt;"",D345&lt;&gt;""),"Yes","")</x:f>
      </x:c>
      <x:c r="J345" s="738"/>
      <x:c r="K345" s="738" t="str">
        <x:v>None</x:v>
      </x:c>
      <x:c r="L345" s="738"/>
      <x:c r="M345" s="738"/>
      <x:c r="N345" s="738"/>
      <x:c r="O345" s="765"/>
    </x:row>
    <x:row r="346">
      <x:c r="A346" s="763"/>
      <x:c r="B346" s="764" t="str">
        <x:f>IF(A346="","",TEXT(A346,"ddd"))</x:f>
      </x:c>
      <x:c r="C346" s="764"/>
      <x:c r="D346" s="764"/>
      <x:c r="E346" s="764" t="str">
        <x:v>Extra</x:v>
      </x:c>
      <x:c r="F346" s="738"/>
      <x:c r="G346" s="738"/>
      <x:c r="H346" s="738"/>
      <x:c r="I346" s="738" t="str">
        <x:f>IF(AND(A346&lt;&gt;"",D346&lt;&gt;""),"Yes","")</x:f>
      </x:c>
      <x:c r="J346" s="738"/>
      <x:c r="K346" s="738" t="str">
        <x:v>None</x:v>
      </x:c>
      <x:c r="L346" s="738"/>
      <x:c r="M346" s="738"/>
      <x:c r="N346" s="738"/>
      <x:c r="O346" s="765"/>
    </x:row>
    <x:row r="347">
      <x:c r="A347" s="763"/>
      <x:c r="B347" s="764" t="str">
        <x:f>IF(A347="","",TEXT(A347,"ddd"))</x:f>
      </x:c>
      <x:c r="C347" s="764"/>
      <x:c r="D347" s="764"/>
      <x:c r="E347" s="764" t="str">
        <x:v>Extra</x:v>
      </x:c>
      <x:c r="F347" s="738"/>
      <x:c r="G347" s="738"/>
      <x:c r="H347" s="738"/>
      <x:c r="I347" s="738" t="str">
        <x:f>IF(AND(A347&lt;&gt;"",D347&lt;&gt;""),"Yes","")</x:f>
      </x:c>
      <x:c r="J347" s="738"/>
      <x:c r="K347" s="738" t="str">
        <x:v>None</x:v>
      </x:c>
      <x:c r="L347" s="738"/>
      <x:c r="M347" s="738"/>
      <x:c r="N347" s="738"/>
      <x:c r="O347" s="765"/>
    </x:row>
    <x:row r="348">
      <x:c r="A348" s="763"/>
      <x:c r="B348" s="764" t="str">
        <x:f>IF(A348="","",TEXT(A348,"ddd"))</x:f>
      </x:c>
      <x:c r="C348" s="764"/>
      <x:c r="D348" s="764"/>
      <x:c r="E348" s="764" t="str">
        <x:v>Extra</x:v>
      </x:c>
      <x:c r="F348" s="738"/>
      <x:c r="G348" s="738"/>
      <x:c r="H348" s="738"/>
      <x:c r="I348" s="738" t="str">
        <x:f>IF(AND(A348&lt;&gt;"",D348&lt;&gt;""),"Yes","")</x:f>
      </x:c>
      <x:c r="J348" s="738"/>
      <x:c r="K348" s="738" t="str">
        <x:v>None</x:v>
      </x:c>
      <x:c r="L348" s="738"/>
      <x:c r="M348" s="738"/>
      <x:c r="N348" s="738"/>
      <x:c r="O348" s="765"/>
    </x:row>
    <x:row r="349">
      <x:c r="A349" s="763"/>
      <x:c r="B349" s="764" t="str">
        <x:f>IF(A349="","",TEXT(A349,"ddd"))</x:f>
      </x:c>
      <x:c r="C349" s="764"/>
      <x:c r="D349" s="764"/>
      <x:c r="E349" s="764" t="str">
        <x:v>Extra</x:v>
      </x:c>
      <x:c r="F349" s="738"/>
      <x:c r="G349" s="738"/>
      <x:c r="H349" s="738"/>
      <x:c r="I349" s="738" t="str">
        <x:f>IF(AND(A349&lt;&gt;"",D349&lt;&gt;""),"Yes","")</x:f>
      </x:c>
      <x:c r="J349" s="738"/>
      <x:c r="K349" s="738" t="str">
        <x:v>None</x:v>
      </x:c>
      <x:c r="L349" s="738"/>
      <x:c r="M349" s="738"/>
      <x:c r="N349" s="738"/>
      <x:c r="O349" s="765"/>
    </x:row>
    <x:row r="350">
      <x:c r="A350" s="763"/>
      <x:c r="B350" s="764" t="str">
        <x:f>IF(A350="","",TEXT(A350,"ddd"))</x:f>
      </x:c>
      <x:c r="C350" s="764"/>
      <x:c r="D350" s="764"/>
      <x:c r="E350" s="764" t="str">
        <x:v>Extra</x:v>
      </x:c>
      <x:c r="F350" s="738"/>
      <x:c r="G350" s="738"/>
      <x:c r="H350" s="738"/>
      <x:c r="I350" s="738" t="str">
        <x:f>IF(AND(A350&lt;&gt;"",D350&lt;&gt;""),"Yes","")</x:f>
      </x:c>
      <x:c r="J350" s="738"/>
      <x:c r="K350" s="738" t="str">
        <x:v>None</x:v>
      </x:c>
      <x:c r="L350" s="738"/>
      <x:c r="M350" s="738"/>
      <x:c r="N350" s="738"/>
      <x:c r="O350" s="765"/>
    </x:row>
    <x:row r="351">
      <x:c r="A351" s="763"/>
      <x:c r="B351" s="764" t="str">
        <x:f>IF(A351="","",TEXT(A351,"ddd"))</x:f>
      </x:c>
      <x:c r="C351" s="764"/>
      <x:c r="D351" s="764"/>
      <x:c r="E351" s="764" t="str">
        <x:v>Extra</x:v>
      </x:c>
      <x:c r="F351" s="738"/>
      <x:c r="G351" s="738"/>
      <x:c r="H351" s="738"/>
      <x:c r="I351" s="738" t="str">
        <x:f>IF(AND(A351&lt;&gt;"",D351&lt;&gt;""),"Yes","")</x:f>
      </x:c>
      <x:c r="J351" s="738"/>
      <x:c r="K351" s="738" t="str">
        <x:v>None</x:v>
      </x:c>
      <x:c r="L351" s="738"/>
      <x:c r="M351" s="738"/>
      <x:c r="N351" s="738"/>
      <x:c r="O351" s="765"/>
    </x:row>
    <x:row r="352">
      <x:c r="A352" s="766"/>
      <x:c r="B352" s="767" t="str">
        <x:f>IF(A352="","",TEXT(A352,"ddd"))</x:f>
      </x:c>
      <x:c r="C352" s="767"/>
      <x:c r="D352" s="767"/>
      <x:c r="E352" s="767" t="str">
        <x:v>Extra</x:v>
      </x:c>
      <x:c r="F352" s="768"/>
      <x:c r="G352" s="768"/>
      <x:c r="H352" s="768"/>
      <x:c r="I352" s="768" t="str">
        <x:f>IF(AND(A352&lt;&gt;"",D352&lt;&gt;""),"Yes","")</x:f>
      </x:c>
      <x:c r="J352" s="768"/>
      <x:c r="K352" s="768" t="str">
        <x:v>None</x:v>
      </x:c>
      <x:c r="L352" s="768"/>
      <x:c r="M352" s="768"/>
      <x:c r="N352" s="768"/>
      <x:c r="O352" s="769"/>
    </x:row>
    <x:row r="353">
      <x:c r="A353" s="397"/>
      <x:c r="B353" s="397"/>
      <x:c r="C353" s="397"/>
      <x:c r="D353" s="397"/>
      <x:c r="E353" s="397"/>
      <x:c r="F353" s="397"/>
      <x:c r="G353" s="397"/>
      <x:c r="H353" s="397"/>
      <x:c r="I353" s="397"/>
      <x:c r="J353" s="397"/>
      <x:c r="K353" s="397"/>
      <x:c r="L353" s="397"/>
      <x:c r="M353" s="397"/>
      <x:c r="N353" s="397"/>
      <x:c r="O353" s="397"/>
    </x:row>
    <x:row r="354">
      <x:c r="A354" s="397"/>
      <x:c r="B354" s="397"/>
      <x:c r="C354" s="397"/>
      <x:c r="D354" s="397"/>
      <x:c r="E354" s="397"/>
      <x:c r="F354" s="397"/>
      <x:c r="G354" s="397"/>
      <x:c r="H354" s="397"/>
      <x:c r="I354" s="397"/>
      <x:c r="J354" s="397"/>
      <x:c r="K354" s="397"/>
      <x:c r="L354" s="397"/>
      <x:c r="M354" s="397"/>
      <x:c r="N354" s="397"/>
      <x:c r="O354" s="397"/>
    </x:row>
    <x:row r="355">
      <x:c r="A355" s="295" t="str">
        <x:v>© 2026 K.I.Rohan • Bad Time Studio | BECM 2K22 academic tracker</x:v>
      </x:c>
      <x:c r="B355" s="295"/>
      <x:c r="C355" s="295"/>
      <x:c r="D355" s="295"/>
      <x:c r="E355" s="295"/>
      <x:c r="F355" s="295"/>
      <x:c r="G355" s="295"/>
      <x:c r="H355" s="295"/>
      <x:c r="I355" s="295"/>
      <x:c r="J355" s="295"/>
      <x:c r="K355" s="295"/>
      <x:c r="L355" s="295"/>
      <x:c r="M355" s="295"/>
      <x:c r="N355" s="295"/>
      <x:c r="O355" s="295"/>
    </x:row>
  </x:sheetData>
  <x:mergeCells>
    <x:mergeCell ref="A1:O1"/>
    <x:mergeCell ref="A2:O2"/>
    <x:mergeCell ref="A4:O4"/>
    <x:mergeCell ref="A355:O355"/>
    <x:mergeCell ref="A293:O293"/>
  </x:mergeCells>
  <x:conditionalFormatting sqref="J7:J352">
    <x:cfRule type="expression" dxfId="2" priority="1">
      <x:formula>J7="Attended"</x:formula>
    </x:cfRule>
    <x:cfRule type="expression" dxfId="3" priority="2">
      <x:formula>J7="Missed"</x:formula>
    </x:cfRule>
    <x:cfRule type="expression" dxfId="4" priority="3">
      <x:formula>J7="Cancelled"</x:formula>
    </x:cfRule>
  </x:conditionalFormatting>
  <x:conditionalFormatting sqref="A7:O352">
    <x:cfRule type="expression" dxfId="5" priority="4">
      <x:formula>$I7="No"</x:formula>
    </x:cfRule>
  </x:conditionalFormatting>
  <x:conditionalFormatting sqref="J294:J352">
    <x:cfRule type="expression" dxfId="6" priority="5">
      <x:formula>J294="Attended"</x:formula>
    </x:cfRule>
    <x:cfRule type="expression" dxfId="7" priority="6">
      <x:formula>J294="Missed"</x:formula>
    </x:cfRule>
    <x:cfRule type="expression" dxfId="8" priority="7">
      <x:formula>J294="Cancelled"</x:formula>
    </x:cfRule>
  </x:conditionalFormatting>
  <x:dataValidations count="8">
    <x:dataValidation type="list" sqref="D293:D352">
      <x:formula1>"BECM 3201,BECM 3205,CE 3211,CE 3213,CE 3223,BECM 3200,BECM 3204,BECM 3208,CE 3224"</x:formula1>
    </x:dataValidation>
    <x:dataValidation type="list" sqref="J7:J352">
      <x:formula1>"Attended,Missed,Cancelled"</x:formula1>
    </x:dataValidation>
    <x:dataValidation type="list" sqref="K7:K352">
      <x:formula1>"None,Spot Test,CT,Quiz"</x:formula1>
    </x:dataValidation>
    <x:dataValidation type="list" sqref="L7:L352">
      <x:formula1>"HRS,MR,MHI,MRA,MSH,MSA,MKI,ATB,AAM,ALL"</x:formula1>
    </x:dataValidation>
    <x:dataValidation type="list" sqref="D294:D352">
      <x:formula1>"BECM 3201,BECM 3205,CE 3211,CE 3213,CE 3223,BECM 3200,BECM 3204,BECM 3208,CE 3224"</x:formula1>
    </x:dataValidation>
    <x:dataValidation type="list" sqref="J294:J352">
      <x:formula1>"Attended,Missed,Cancelled"</x:formula1>
    </x:dataValidation>
    <x:dataValidation type="list" sqref="K294:K352">
      <x:formula1>"None,Spot Test,CT,Quiz"</x:formula1>
    </x:dataValidation>
    <x:dataValidation type="list" sqref="L294:L352">
      <x:formula1>"HRS,MR,MHI,MRA,MSH,MSA,MKI,ATB,AAM,ALL"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>
      <x:c r="A1" s="463" t="str">
        <x:v>BECM 2K22 — Routine &amp; Academic Calendar</x:v>
      </x:c>
      <x:c r="B1" s="463"/>
      <x:c r="C1" s="463"/>
      <x:c r="D1" s="463"/>
      <x:c r="E1" s="463"/>
      <x:c r="F1" s="463"/>
      <x:c r="G1" s="463"/>
      <x:c r="H1" s="463"/>
      <x:c r="I1" s="463"/>
      <x:c r="J1" s="463"/>
      <x:c r="K1" s="463"/>
      <x:c r="L1" s="463"/>
      <x:c r="M1" s="463"/>
      <x:c r="N1" s="463"/>
    </x:row>
    <x:row r="2">
      <x:c r="A2" s="464" t="str">
        <x:v>Effective from 06 Sep 2026 • Fri–Sat off • Add any extra university closure in the holiday list on the right.</x:v>
      </x:c>
      <x:c r="B2" s="464"/>
      <x:c r="C2" s="464"/>
      <x:c r="D2" s="464"/>
      <x:c r="E2" s="464"/>
      <x:c r="F2" s="464"/>
      <x:c r="G2" s="464"/>
      <x:c r="H2" s="464"/>
      <x:c r="I2" s="464"/>
      <x:c r="J2" s="464"/>
      <x:c r="K2" s="464"/>
      <x:c r="L2" s="464"/>
      <x:c r="M2" s="464"/>
      <x:c r="N2" s="464"/>
    </x:row>
    <x:row r="3">
      <x:c r="A3" s="465"/>
      <x:c r="B3" s="465"/>
      <x:c r="C3" s="465"/>
      <x:c r="D3" s="465"/>
      <x:c r="E3" s="465"/>
      <x:c r="F3" s="465"/>
      <x:c r="G3" s="465"/>
      <x:c r="H3" s="465"/>
      <x:c r="I3" s="465"/>
      <x:c r="J3" s="465"/>
      <x:c r="K3" s="465"/>
      <x:c r="L3" s="465"/>
      <x:c r="M3" s="465"/>
      <x:c r="N3" s="465"/>
    </x:row>
    <x:row r="4" ht="42" customHeight="1">
      <x:c r="A4" s="215" t="str">
        <x:v>Day</x:v>
      </x:c>
      <x:c r="B4" s="349" t="str">
        <x:v>1st
08:00</x:v>
      </x:c>
      <x:c r="C4" s="349" t="str">
        <x:v>2nd
08:50</x:v>
      </x:c>
      <x:c r="D4" s="349" t="str">
        <x:v>3rd
09:40</x:v>
      </x:c>
      <x:c r="E4" s="349" t="str">
        <x:v>4th
10:40</x:v>
      </x:c>
      <x:c r="F4" s="349" t="str">
        <x:v>5th
11:30</x:v>
      </x:c>
      <x:c r="G4" s="349" t="str">
        <x:v>6th
12:20</x:v>
      </x:c>
      <x:c r="H4" s="349" t="str">
        <x:v>7th
02:30</x:v>
      </x:c>
      <x:c r="I4" s="349" t="str">
        <x:v>8th
03:20</x:v>
      </x:c>
      <x:c r="J4" s="216" t="str">
        <x:v>9th
04:10</x:v>
      </x:c>
      <x:c r="K4" s="466" t="str">
        <x:v>NO-CLASS DATE OVERRIDES</x:v>
      </x:c>
      <x:c r="L4" s="466"/>
      <x:c r="M4" s="466"/>
      <x:c r="N4" s="466"/>
    </x:row>
    <x:row r="5" ht="42" customHeight="1">
      <x:c r="A5" s="635" t="str">
        <x:v>SUN</x:v>
      </x:c>
      <x:c r="B5" s="465"/>
      <x:c r="C5" s="465"/>
      <x:c r="D5" s="465"/>
      <x:c r="E5" s="343" t="str">
        <x:v>CE 3213
HRS • R501</x:v>
      </x:c>
      <x:c r="F5" s="343" t="str">
        <x:v>CE 3223
MSA • R501</x:v>
      </x:c>
      <x:c r="G5" s="343" t="str">
        <x:v>CE 3211
MKI • R501</x:v>
      </x:c>
      <x:c r="H5" s="343" t="str">
        <x:v>BECM 3204
HRS/MR • R404</x:v>
      </x:c>
      <x:c r="I5" s="465"/>
      <x:c r="J5" s="504"/>
      <x:c r="K5" s="186" t="str">
        <x:v>Date</x:v>
      </x:c>
      <x:c r="L5" s="186" t="str">
        <x:v>Reason</x:v>
      </x:c>
      <x:c r="M5" s="186" t="str">
        <x:v>Source</x:v>
      </x:c>
      <x:c r="N5" s="186" t="str">
        <x:v>Use</x:v>
      </x:c>
    </x:row>
    <x:row r="6" ht="42" customHeight="1">
      <x:c r="A6" s="635" t="str">
        <x:v>MON</x:v>
      </x:c>
      <x:c r="B6" s="465"/>
      <x:c r="C6" s="465"/>
      <x:c r="D6" s="343" t="str">
        <x:v>CE 3223
MHI/MSA • R404</x:v>
      </x:c>
      <x:c r="E6" s="465"/>
      <x:c r="F6" s="343" t="str">
        <x:v>BECM 3201
MR • R405</x:v>
      </x:c>
      <x:c r="G6" s="343" t="str">
        <x:v>BECM 3205
AAM • R405</x:v>
      </x:c>
      <x:c r="H6" s="343" t="str">
        <x:v>BECM 3200
All Teachers</x:v>
      </x:c>
      <x:c r="I6" s="465"/>
      <x:c r="J6" s="504"/>
      <x:c r="K6" s="636" t="n">
        <x:v>46313</x:v>
      </x:c>
      <x:c r="L6" s="498" t="str">
        <x:v>Durga Puja Holiday</x:v>
      </x:c>
      <x:c r="M6" s="498" t="str">
        <x:v>Academic calendar</x:v>
      </x:c>
      <x:c r="N6" s="500" t="str">
        <x:v>Auto excluded</x:v>
      </x:c>
    </x:row>
    <x:row r="7" ht="42" customHeight="1">
      <x:c r="A7" s="635" t="str">
        <x:v>TUES</x:v>
      </x:c>
      <x:c r="B7" s="343" t="str">
        <x:v>CE 3224
MHI/MRA</x:v>
      </x:c>
      <x:c r="C7" s="465"/>
      <x:c r="D7" s="465"/>
      <x:c r="E7" s="465"/>
      <x:c r="F7" s="343" t="str">
        <x:v>CE 3213
MKI • R405</x:v>
      </x:c>
      <x:c r="G7" s="343" t="str">
        <x:v>BECM 3201
MRA • R405</x:v>
      </x:c>
      <x:c r="H7" s="343" t="str">
        <x:v>BECM 3208
MSH/MSA</x:v>
      </x:c>
      <x:c r="I7" s="465"/>
      <x:c r="J7" s="504"/>
      <x:c r="K7" s="637" t="n">
        <x:v>46314</x:v>
      </x:c>
      <x:c r="L7" s="465" t="str">
        <x:v>Durga Puja Holiday</x:v>
      </x:c>
      <x:c r="M7" s="465" t="str">
        <x:v>Academic calendar</x:v>
      </x:c>
      <x:c r="N7" s="504" t="str">
        <x:v>Auto excluded</x:v>
      </x:c>
    </x:row>
    <x:row r="8" ht="42" customHeight="1">
      <x:c r="A8" s="635" t="str">
        <x:v>WED</x:v>
      </x:c>
      <x:c r="B8" s="465"/>
      <x:c r="C8" s="465"/>
      <x:c r="D8" s="343" t="str">
        <x:v>CE 3213
HRS/MKI • R501</x:v>
      </x:c>
      <x:c r="E8" s="343" t="str">
        <x:v>CE 3211
ATB • R501</x:v>
      </x:c>
      <x:c r="F8" s="343" t="str">
        <x:v>CE 3223
MHI • R501</x:v>
      </x:c>
      <x:c r="G8" s="343" t="str">
        <x:v>BECM 3205
MSH/AAM • R501</x:v>
      </x:c>
      <x:c r="H8" s="343" t="str">
        <x:v>BECM 3208
MSH/MSA • R501</x:v>
      </x:c>
      <x:c r="I8" s="465"/>
      <x:c r="J8" s="504"/>
      <x:c r="K8" s="637" t="n">
        <x:v>46315</x:v>
      </x:c>
      <x:c r="L8" s="465" t="str">
        <x:v>Durga Puja Holiday</x:v>
      </x:c>
      <x:c r="M8" s="465" t="str">
        <x:v>Academic calendar</x:v>
      </x:c>
      <x:c r="N8" s="504" t="str">
        <x:v>Auto excluded</x:v>
      </x:c>
    </x:row>
    <x:row r="9" ht="42" customHeight="1">
      <x:c r="A9" s="635" t="str">
        <x:v>THURS</x:v>
      </x:c>
      <x:c r="B9" s="343" t="str">
        <x:v>BECM 3204
HRS/MR</x:v>
      </x:c>
      <x:c r="C9" s="506"/>
      <x:c r="D9" s="506"/>
      <x:c r="E9" s="343" t="str">
        <x:v>BECM 3205
MSH • R406</x:v>
      </x:c>
      <x:c r="F9" s="343" t="str">
        <x:v>CE 3211
MKI/ATB • R406</x:v>
      </x:c>
      <x:c r="G9" s="343" t="str">
        <x:v>BECM 3201
MR/MRA • R406</x:v>
      </x:c>
      <x:c r="H9" s="343" t="str">
        <x:v>CE 3224
MHI/MRA • R405</x:v>
      </x:c>
      <x:c r="I9" s="506"/>
      <x:c r="J9" s="508"/>
      <x:c r="K9" s="637" t="n">
        <x:v>46316</x:v>
      </x:c>
      <x:c r="L9" s="465" t="str">
        <x:v>Durga Puja Holiday</x:v>
      </x:c>
      <x:c r="M9" s="465" t="str">
        <x:v>Academic calendar</x:v>
      </x:c>
      <x:c r="N9" s="504" t="str">
        <x:v>Auto excluded</x:v>
      </x:c>
    </x:row>
    <x:row r="10">
      <x:c r="A10" s="465"/>
      <x:c r="B10" s="465"/>
      <x:c r="C10" s="465"/>
      <x:c r="D10" s="465"/>
      <x:c r="E10" s="465"/>
      <x:c r="F10" s="465"/>
      <x:c r="G10" s="465"/>
      <x:c r="H10" s="465"/>
      <x:c r="I10" s="465"/>
      <x:c r="J10" s="465"/>
      <x:c r="K10" s="637" t="n">
        <x:v>46317</x:v>
      </x:c>
      <x:c r="L10" s="465" t="str">
        <x:v>Durga Puja Holiday</x:v>
      </x:c>
      <x:c r="M10" s="465" t="str">
        <x:v>Academic calendar</x:v>
      </x:c>
      <x:c r="N10" s="504" t="str">
        <x:v>Auto excluded</x:v>
      </x:c>
    </x:row>
    <x:row r="11">
      <x:c r="A11" s="465"/>
      <x:c r="B11" s="465"/>
      <x:c r="C11" s="465"/>
      <x:c r="D11" s="465"/>
      <x:c r="E11" s="465"/>
      <x:c r="F11" s="465"/>
      <x:c r="G11" s="465"/>
      <x:c r="H11" s="465"/>
      <x:c r="I11" s="465"/>
      <x:c r="J11" s="465"/>
      <x:c r="K11" s="637" t="n">
        <x:v>46318</x:v>
      </x:c>
      <x:c r="L11" s="465" t="str">
        <x:v>Durga Puja Holiday</x:v>
      </x:c>
      <x:c r="M11" s="465" t="str">
        <x:v>Academic calendar</x:v>
      </x:c>
      <x:c r="N11" s="504" t="str">
        <x:v>Auto excluded</x:v>
      </x:c>
    </x:row>
    <x:row r="12">
      <x:c r="A12" s="466" t="str">
        <x:v>ACADEMIC CALENDAR</x:v>
      </x:c>
      <x:c r="B12" s="466"/>
      <x:c r="C12" s="466"/>
      <x:c r="D12" s="466"/>
      <x:c r="E12" s="466"/>
      <x:c r="F12" s="466"/>
      <x:c r="G12" s="466"/>
      <x:c r="H12" s="466"/>
      <x:c r="I12" s="465"/>
      <x:c r="J12" s="465"/>
      <x:c r="K12" s="637" t="n">
        <x:v>46319</x:v>
      </x:c>
      <x:c r="L12" s="465" t="str">
        <x:v>Durga Puja Holiday</x:v>
      </x:c>
      <x:c r="M12" s="465" t="str">
        <x:v>Academic calendar</x:v>
      </x:c>
      <x:c r="N12" s="504" t="str">
        <x:v>Auto excluded</x:v>
      </x:c>
    </x:row>
    <x:row r="13">
      <x:c r="A13" s="215" t="str">
        <x:v>Milestone</x:v>
      </x:c>
      <x:c r="B13" s="349" t="str">
        <x:v>Start</x:v>
      </x:c>
      <x:c r="C13" s="349" t="str">
        <x:v>End</x:v>
      </x:c>
      <x:c r="D13" s="216" t="str">
        <x:v>Note</x:v>
      </x:c>
      <x:c r="E13" s="465"/>
      <x:c r="F13" s="465"/>
      <x:c r="G13" s="465"/>
      <x:c r="H13" s="465"/>
      <x:c r="I13" s="465"/>
      <x:c r="J13" s="465"/>
      <x:c r="K13" s="638"/>
      <x:c r="L13" s="639"/>
      <x:c r="M13" s="639"/>
      <x:c r="N13" s="640" t="str">
        <x:v>Add closure if needed</x:v>
      </x:c>
    </x:row>
    <x:row r="14">
      <x:c r="A14" s="501" t="str">
        <x:v>Classes — Phase 1</x:v>
      </x:c>
      <x:c r="B14" s="641" t="n">
        <x:v>46271</x:v>
      </x:c>
      <x:c r="C14" s="641" t="n">
        <x:v>46312</x:v>
      </x:c>
      <x:c r="D14" s="504" t="str">
        <x:v>30 class days</x:v>
      </x:c>
      <x:c r="E14" s="465"/>
      <x:c r="F14" s="465"/>
      <x:c r="G14" s="465"/>
      <x:c r="H14" s="465"/>
      <x:c r="I14" s="465"/>
      <x:c r="J14" s="465"/>
      <x:c r="K14" s="638"/>
      <x:c r="L14" s="639"/>
      <x:c r="M14" s="639"/>
      <x:c r="N14" s="640" t="str">
        <x:v>Add closure if needed</x:v>
      </x:c>
    </x:row>
    <x:row r="15">
      <x:c r="A15" s="501" t="str">
        <x:v>Durga Puja Holiday</x:v>
      </x:c>
      <x:c r="B15" s="641" t="n">
        <x:v>46313</x:v>
      </x:c>
      <x:c r="C15" s="641" t="n">
        <x:v>46319</x:v>
      </x:c>
      <x:c r="D15" s="504" t="str">
        <x:v>No classes</x:v>
      </x:c>
      <x:c r="E15" s="465"/>
      <x:c r="F15" s="465"/>
      <x:c r="G15" s="465"/>
      <x:c r="H15" s="465"/>
      <x:c r="I15" s="465"/>
      <x:c r="J15" s="465"/>
      <x:c r="K15" s="638"/>
      <x:c r="L15" s="639"/>
      <x:c r="M15" s="639"/>
      <x:c r="N15" s="640" t="str">
        <x:v>Add closure if needed</x:v>
      </x:c>
    </x:row>
    <x:row r="16">
      <x:c r="A16" s="501" t="str">
        <x:v>Classes — Phase 2</x:v>
      </x:c>
      <x:c r="B16" s="641" t="n">
        <x:v>46320</x:v>
      </x:c>
      <x:c r="C16" s="641" t="n">
        <x:v>46366</x:v>
      </x:c>
      <x:c r="D16" s="504" t="str">
        <x:v>35 class days</x:v>
      </x:c>
      <x:c r="E16" s="465"/>
      <x:c r="F16" s="465"/>
      <x:c r="G16" s="465"/>
      <x:c r="H16" s="465"/>
      <x:c r="I16" s="465"/>
      <x:c r="J16" s="465"/>
      <x:c r="K16" s="638"/>
      <x:c r="L16" s="639"/>
      <x:c r="M16" s="639"/>
      <x:c r="N16" s="640" t="str">
        <x:v>Add closure if needed</x:v>
      </x:c>
    </x:row>
    <x:row r="17">
      <x:c r="A17" s="501" t="str">
        <x:v>Preparation Leave</x:v>
      </x:c>
      <x:c r="B17" s="641" t="n">
        <x:v>46367</x:v>
      </x:c>
      <x:c r="C17" s="641" t="n">
        <x:v>46376</x:v>
      </x:c>
      <x:c r="D17" s="504" t="str">
        <x:v>No classes</x:v>
      </x:c>
      <x:c r="E17" s="465"/>
      <x:c r="F17" s="465"/>
      <x:c r="G17" s="465"/>
      <x:c r="H17" s="465"/>
      <x:c r="I17" s="465"/>
      <x:c r="J17" s="465"/>
      <x:c r="K17" s="638"/>
      <x:c r="L17" s="639"/>
      <x:c r="M17" s="639"/>
      <x:c r="N17" s="640" t="str">
        <x:v>Add closure if needed</x:v>
      </x:c>
    </x:row>
    <x:row r="18">
      <x:c r="A18" s="505" t="str">
        <x:v>Term Exam Starts</x:v>
      </x:c>
      <x:c r="B18" s="642" t="n">
        <x:v>46377</x:v>
      </x:c>
      <x:c r="C18" s="642" t="n">
        <x:v>46377</x:v>
      </x:c>
      <x:c r="D18" s="508" t="str">
        <x:v>Monday</x:v>
      </x:c>
      <x:c r="E18" s="465"/>
      <x:c r="F18" s="465"/>
      <x:c r="G18" s="465"/>
      <x:c r="H18" s="465"/>
      <x:c r="I18" s="465"/>
      <x:c r="J18" s="465"/>
      <x:c r="K18" s="638"/>
      <x:c r="L18" s="639"/>
      <x:c r="M18" s="639"/>
      <x:c r="N18" s="640" t="str">
        <x:v>Add closure if needed</x:v>
      </x:c>
    </x:row>
    <x:row r="19">
      <x:c r="A19" s="465"/>
      <x:c r="B19" s="465"/>
      <x:c r="C19" s="465"/>
      <x:c r="D19" s="465"/>
      <x:c r="E19" s="465"/>
      <x:c r="F19" s="465"/>
      <x:c r="G19" s="465"/>
      <x:c r="H19" s="465"/>
      <x:c r="I19" s="465"/>
      <x:c r="J19" s="465"/>
      <x:c r="K19" s="638"/>
      <x:c r="L19" s="639"/>
      <x:c r="M19" s="639"/>
      <x:c r="N19" s="640" t="str">
        <x:v>Add closure if needed</x:v>
      </x:c>
    </x:row>
    <x:row r="20">
      <x:c r="A20" s="465"/>
      <x:c r="B20" s="465"/>
      <x:c r="C20" s="465"/>
      <x:c r="D20" s="465"/>
      <x:c r="E20" s="465"/>
      <x:c r="F20" s="465"/>
      <x:c r="G20" s="465"/>
      <x:c r="H20" s="465"/>
      <x:c r="I20" s="465"/>
      <x:c r="J20" s="465"/>
      <x:c r="K20" s="638"/>
      <x:c r="L20" s="639"/>
      <x:c r="M20" s="639"/>
      <x:c r="N20" s="640" t="str">
        <x:v>Add closure if needed</x:v>
      </x:c>
    </x:row>
    <x:row r="21">
      <x:c r="A21" s="618" t="str">
        <x:v>Tip: if KUET announces a new closure, enter only the date and reason above. All matching routine rows become inactive automatically.</x:v>
      </x:c>
      <x:c r="B21" s="618"/>
      <x:c r="C21" s="618"/>
      <x:c r="D21" s="618"/>
      <x:c r="E21" s="618"/>
      <x:c r="F21" s="618"/>
      <x:c r="G21" s="618"/>
      <x:c r="H21" s="618"/>
      <x:c r="I21" s="618"/>
      <x:c r="J21" s="618"/>
      <x:c r="K21" s="619"/>
      <x:c r="L21" s="618"/>
      <x:c r="M21" s="618"/>
      <x:c r="N21" s="620" t="str">
        <x:v>Add closure if needed</x:v>
      </x:c>
    </x:row>
    <x:row r="22">
      <x:c r="A22" s="465"/>
      <x:c r="B22" s="465"/>
      <x:c r="C22" s="465"/>
      <x:c r="D22" s="465"/>
      <x:c r="E22" s="465"/>
      <x:c r="F22" s="465"/>
      <x:c r="G22" s="465"/>
      <x:c r="H22" s="465"/>
      <x:c r="I22" s="465"/>
      <x:c r="J22" s="465"/>
      <x:c r="K22" s="638"/>
      <x:c r="L22" s="639"/>
      <x:c r="M22" s="639"/>
      <x:c r="N22" s="640" t="str">
        <x:v>Add closure if needed</x:v>
      </x:c>
    </x:row>
    <x:row r="23">
      <x:c r="A23" s="465"/>
      <x:c r="B23" s="465"/>
      <x:c r="C23" s="465"/>
      <x:c r="D23" s="465"/>
      <x:c r="E23" s="465"/>
      <x:c r="F23" s="465"/>
      <x:c r="G23" s="465"/>
      <x:c r="H23" s="465"/>
      <x:c r="I23" s="465"/>
      <x:c r="J23" s="465"/>
      <x:c r="K23" s="638"/>
      <x:c r="L23" s="639"/>
      <x:c r="M23" s="639"/>
      <x:c r="N23" s="640" t="str">
        <x:v>Add closure if needed</x:v>
      </x:c>
    </x:row>
    <x:row r="24">
      <x:c r="A24" s="518" t="str">
        <x:v>© 2026 K.I.Rohan • Bad Time Studio — BECM 2K22, 3rd Year 2nd Term</x:v>
      </x:c>
      <x:c r="B24" s="518"/>
      <x:c r="C24" s="518"/>
      <x:c r="D24" s="518"/>
      <x:c r="E24" s="518"/>
      <x:c r="F24" s="518"/>
      <x:c r="G24" s="518"/>
      <x:c r="H24" s="518"/>
      <x:c r="I24" s="518"/>
      <x:c r="J24" s="518"/>
      <x:c r="K24" s="643"/>
      <x:c r="L24" s="518"/>
      <x:c r="M24" s="518"/>
      <x:c r="N24" s="644" t="str">
        <x:v>Add closure if needed</x:v>
      </x:c>
    </x:row>
    <x:row r="25">
      <x:c r="K25" s="355"/>
      <x:c r="L25" s="223"/>
      <x:c r="M25" s="223"/>
      <x:c r="N25" s="356" t="str">
        <x:v>Add closure if needed</x:v>
      </x:c>
    </x:row>
    <x:row r="26">
      <x:c r="K26" s="355"/>
      <x:c r="L26" s="223"/>
      <x:c r="M26" s="223"/>
      <x:c r="N26" s="356" t="str">
        <x:v>Add closure if needed</x:v>
      </x:c>
    </x:row>
    <x:row r="27">
      <x:c r="K27" s="355"/>
      <x:c r="L27" s="223"/>
      <x:c r="M27" s="223"/>
      <x:c r="N27" s="356" t="str">
        <x:v>Add closure if needed</x:v>
      </x:c>
    </x:row>
    <x:row r="28">
      <x:c r="K28" s="355"/>
      <x:c r="L28" s="223"/>
      <x:c r="M28" s="223"/>
      <x:c r="N28" s="356" t="str">
        <x:v>Add closure if needed</x:v>
      </x:c>
    </x:row>
    <x:row r="29">
      <x:c r="K29" s="355"/>
      <x:c r="L29" s="223"/>
      <x:c r="M29" s="223"/>
      <x:c r="N29" s="356" t="str">
        <x:v>Add closure if needed</x:v>
      </x:c>
    </x:row>
    <x:row r="30">
      <x:c r="K30" s="355"/>
      <x:c r="L30" s="223"/>
      <x:c r="M30" s="223"/>
      <x:c r="N30" s="356" t="str">
        <x:v>Add closure if needed</x:v>
      </x:c>
    </x:row>
    <x:row r="31">
      <x:c r="K31" s="355"/>
      <x:c r="L31" s="223"/>
      <x:c r="M31" s="223"/>
      <x:c r="N31" s="356" t="str">
        <x:v>Add closure if needed</x:v>
      </x:c>
    </x:row>
    <x:row r="32">
      <x:c r="K32" s="355"/>
      <x:c r="L32" s="223"/>
      <x:c r="M32" s="223"/>
      <x:c r="N32" s="356" t="str">
        <x:v>Add closure if needed</x:v>
      </x:c>
    </x:row>
    <x:row r="33">
      <x:c r="K33" s="355"/>
      <x:c r="L33" s="223"/>
      <x:c r="M33" s="223"/>
      <x:c r="N33" s="356" t="str">
        <x:v>Add closure if needed</x:v>
      </x:c>
    </x:row>
    <x:row r="34">
      <x:c r="K34" s="355"/>
      <x:c r="L34" s="223"/>
      <x:c r="M34" s="223"/>
      <x:c r="N34" s="356" t="str">
        <x:v>Add closure if needed</x:v>
      </x:c>
    </x:row>
    <x:row r="35">
      <x:c r="K35" s="357"/>
      <x:c r="L35" s="358"/>
      <x:c r="M35" s="358"/>
      <x:c r="N35" s="359" t="str">
        <x:v>Add closure if needed</x:v>
      </x:c>
    </x:row>
  </x:sheetData>
  <x:mergeCells>
    <x:mergeCell ref="A1:N1"/>
    <x:mergeCell ref="A2:N2"/>
    <x:mergeCell ref="H5:J5"/>
    <x:mergeCell ref="H6:J6"/>
    <x:mergeCell ref="B7:D7"/>
    <x:mergeCell ref="H7:J7"/>
    <x:mergeCell ref="H8:J8"/>
    <x:mergeCell ref="B9:D9"/>
    <x:mergeCell ref="H9:J9"/>
    <x:mergeCell ref="A12:H12"/>
    <x:mergeCell ref="K4:N4"/>
    <x:mergeCell ref="A21:N21"/>
    <x:mergeCell ref="A24:N24"/>
  </x:mergeCells>
  <x:pageMargins left="0.7" right="0.7" top="0.75" bottom="0.75" header="0.3" footer="0.3"/>
</x:worksheet>
</file>